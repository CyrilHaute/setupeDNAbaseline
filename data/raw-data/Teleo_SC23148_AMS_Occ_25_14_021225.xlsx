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3148_Marbec_VigilifeAMS\Résultats\Occitanie\Envoyés\"/>
    </mc:Choice>
  </mc:AlternateContent>
  <xr:revisionPtr revIDLastSave="0" documentId="13_ncr:1_{EC6E05DA-1C8B-4374-A647-0AABE73EFD31}" xr6:coauthVersionLast="47" xr6:coauthVersionMax="47" xr10:uidLastSave="{00000000-0000-0000-0000-000000000000}"/>
  <bookViews>
    <workbookView xWindow="28680" yWindow="-120" windowWidth="29040" windowHeight="15840" xr2:uid="{BBDE2587-3298-4944-80D8-2E9471D14FAB}"/>
  </bookViews>
  <sheets>
    <sheet name="SC23148_AMS_Occ_25_14_Services" sheetId="28" r:id="rId1"/>
  </sheets>
  <definedNames>
    <definedName name="_xlnm._FilterDatabase" localSheetId="0" hidden="1">SC23148_AMS_Occ_25_14_Services!$A$6:$AA$142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2" i="28" l="1"/>
  <c r="I132" i="28"/>
  <c r="W49" i="28"/>
  <c r="U49" i="28"/>
  <c r="M49" i="28"/>
</calcChain>
</file>

<file path=xl/sharedStrings.xml><?xml version="1.0" encoding="utf-8"?>
<sst xmlns="http://schemas.openxmlformats.org/spreadsheetml/2006/main" count="800" uniqueCount="254">
  <si>
    <t>SC23148-AMS-Occ-25-14</t>
  </si>
  <si>
    <t>SPY2501367</t>
  </si>
  <si>
    <t>SPY2501370</t>
  </si>
  <si>
    <t>SPY2501366</t>
  </si>
  <si>
    <t>SPY2501372</t>
  </si>
  <si>
    <t>SPY2501371</t>
  </si>
  <si>
    <t>SPY2501364</t>
  </si>
  <si>
    <t>SPY2501365</t>
  </si>
  <si>
    <t>SPY2501373</t>
  </si>
  <si>
    <t>SPY2501363</t>
  </si>
  <si>
    <t>SPY2501369</t>
  </si>
  <si>
    <t>SPY2501362</t>
  </si>
  <si>
    <t>(vide)</t>
  </si>
  <si>
    <t>sainte_marie_la_mer</t>
  </si>
  <si>
    <t>port_vendres</t>
  </si>
  <si>
    <t>leucate</t>
  </si>
  <si>
    <t>argeles</t>
  </si>
  <si>
    <t>scientific_name</t>
  </si>
  <si>
    <t>class</t>
  </si>
  <si>
    <t>order</t>
  </si>
  <si>
    <t>family</t>
  </si>
  <si>
    <t>GenBank_r265</t>
  </si>
  <si>
    <t>MED_2025</t>
  </si>
  <si>
    <t>Sardina pilchardus</t>
  </si>
  <si>
    <t>Actinopteri</t>
  </si>
  <si>
    <t>Clupeiformes</t>
  </si>
  <si>
    <t>Clupeidae</t>
  </si>
  <si>
    <t>Sardinella aurita</t>
  </si>
  <si>
    <t>Trachurus_mediterraneus_T_trachurus</t>
  </si>
  <si>
    <t>Carangiformes</t>
  </si>
  <si>
    <t>Carangidae</t>
  </si>
  <si>
    <t>Pagellus acarne</t>
  </si>
  <si>
    <t>Spariformes</t>
  </si>
  <si>
    <t>Sparidae</t>
  </si>
  <si>
    <t>Dicentrarchus labrax</t>
  </si>
  <si>
    <t>Moronidae</t>
  </si>
  <si>
    <t>Sparus aurata</t>
  </si>
  <si>
    <t>Solea senegalensis</t>
  </si>
  <si>
    <t>Pleuronectiformes</t>
  </si>
  <si>
    <t>Soleidae</t>
  </si>
  <si>
    <t>Pomatomus saltator</t>
  </si>
  <si>
    <t>Scombriformes</t>
  </si>
  <si>
    <t>Pomatomidae</t>
  </si>
  <si>
    <t>Boops boops</t>
  </si>
  <si>
    <t>Belone belone</t>
  </si>
  <si>
    <t>Beloniformes</t>
  </si>
  <si>
    <t>Belonidae</t>
  </si>
  <si>
    <t>Lithognathus mormyrus</t>
  </si>
  <si>
    <t>Oblada melanura</t>
  </si>
  <si>
    <t>Engraulis encrasicolus</t>
  </si>
  <si>
    <t>Engraulidae</t>
  </si>
  <si>
    <t>Scomber scombrus</t>
  </si>
  <si>
    <t>Scombridae</t>
  </si>
  <si>
    <t>Pagellus erythrinus</t>
  </si>
  <si>
    <t>Lesueurigobius suerii</t>
  </si>
  <si>
    <t>Gobiiformes</t>
  </si>
  <si>
    <t>Gobiidae</t>
  </si>
  <si>
    <t>Mullus surmuletus</t>
  </si>
  <si>
    <t>Syngnathiformes</t>
  </si>
  <si>
    <t>Mullidae</t>
  </si>
  <si>
    <t>Diplodus vulgaris</t>
  </si>
  <si>
    <t>Conger conger</t>
  </si>
  <si>
    <t>Anguilliformes</t>
  </si>
  <si>
    <t>Congridae</t>
  </si>
  <si>
    <t>Uranoscopus scaber</t>
  </si>
  <si>
    <t>Uranoscopiformes</t>
  </si>
  <si>
    <t>Uranoscopidae</t>
  </si>
  <si>
    <t>Spicara_flexuosa_S_smaris</t>
  </si>
  <si>
    <t>Centracanthidae</t>
  </si>
  <si>
    <t>Mullus barbatus</t>
  </si>
  <si>
    <t>Serranus cabrilla</t>
  </si>
  <si>
    <t>Perciformes</t>
  </si>
  <si>
    <t>Serranidae</t>
  </si>
  <si>
    <t>Arnoglossus thori</t>
  </si>
  <si>
    <t>Bothidae</t>
  </si>
  <si>
    <t>Diplodus sargus</t>
  </si>
  <si>
    <t>Chelon auratus</t>
  </si>
  <si>
    <t>Mugiliformes</t>
  </si>
  <si>
    <t>Mugilidae</t>
  </si>
  <si>
    <t>Arnoglossus laterna</t>
  </si>
  <si>
    <t>Aetomylaeus bovinus</t>
  </si>
  <si>
    <t>Chondrichthyes</t>
  </si>
  <si>
    <t>Myliobatiformes</t>
  </si>
  <si>
    <t>Myliobatidae</t>
  </si>
  <si>
    <t>Symphodus tinca</t>
  </si>
  <si>
    <t>Labriformes</t>
  </si>
  <si>
    <t>Labridae</t>
  </si>
  <si>
    <t>Labrus_merula_L_viridis_C_melanocernus</t>
  </si>
  <si>
    <t>Chelon labrosus</t>
  </si>
  <si>
    <t>Sarpa salpa</t>
  </si>
  <si>
    <t>Diplodus annularis</t>
  </si>
  <si>
    <t>Scomber colias</t>
  </si>
  <si>
    <t>Diplodus puntazzo</t>
  </si>
  <si>
    <t>Chelon ramada</t>
  </si>
  <si>
    <t>Gobius niger</t>
  </si>
  <si>
    <t>D. dentex_P. auriga_P. pagrus</t>
  </si>
  <si>
    <t>Oedalechilus labeo</t>
  </si>
  <si>
    <t>Tripterygion melanurum</t>
  </si>
  <si>
    <t>Blenniiformes</t>
  </si>
  <si>
    <t>Tripterygiidae</t>
  </si>
  <si>
    <t>Gobius bucchichi</t>
  </si>
  <si>
    <t>Gobius cobitis</t>
  </si>
  <si>
    <t>Scorpaena porcus</t>
  </si>
  <si>
    <t>Scorpaenidae</t>
  </si>
  <si>
    <t>S_chrysotaenia_S_sphyraena</t>
  </si>
  <si>
    <t>Sphyraenidae</t>
  </si>
  <si>
    <t>Parablennius_incognitus_P_sanguinolentus</t>
  </si>
  <si>
    <t>Blenniidae</t>
  </si>
  <si>
    <t>Muraena helena</t>
  </si>
  <si>
    <t>Muraenidae</t>
  </si>
  <si>
    <t>Sciaena umbra</t>
  </si>
  <si>
    <t>Sciaenidae</t>
  </si>
  <si>
    <t>P_tentacularis_P_zvonimiri</t>
  </si>
  <si>
    <t>Pteroplatytrygon violacea</t>
  </si>
  <si>
    <t>Dasyatidae</t>
  </si>
  <si>
    <t>Crystallogobius linearis</t>
  </si>
  <si>
    <t>Lesueurigobius friesii</t>
  </si>
  <si>
    <t>Sprattus sprattus</t>
  </si>
  <si>
    <t>C. lucerna_L. dieuzeidei</t>
  </si>
  <si>
    <t>Triglidae</t>
  </si>
  <si>
    <t>Raja_asterias_R_clavata_R_polystigma</t>
  </si>
  <si>
    <t>Rajiformes</t>
  </si>
  <si>
    <t>Rajidae</t>
  </si>
  <si>
    <t>Pegusa nasuta</t>
  </si>
  <si>
    <t>Scorpaena scrofa</t>
  </si>
  <si>
    <t>Thunnus thynnus</t>
  </si>
  <si>
    <t>Lophius budegassa</t>
  </si>
  <si>
    <t>Lophiiformes</t>
  </si>
  <si>
    <t>Lophiidae</t>
  </si>
  <si>
    <t>Lophius piscatorius</t>
  </si>
  <si>
    <t>Merluccius merluccius</t>
  </si>
  <si>
    <t>Gadiformes</t>
  </si>
  <si>
    <t>Merlucciidae</t>
  </si>
  <si>
    <t>Mola mola</t>
  </si>
  <si>
    <t>Tetraodontiformes</t>
  </si>
  <si>
    <t>Molidae</t>
  </si>
  <si>
    <t>Zeus faber</t>
  </si>
  <si>
    <t>Zeiformes</t>
  </si>
  <si>
    <t>Zeidae</t>
  </si>
  <si>
    <t>Xiphias gladius</t>
  </si>
  <si>
    <t>Istiophoriformes</t>
  </si>
  <si>
    <t>Xiphiidae</t>
  </si>
  <si>
    <t>Scyliorhinus canicula</t>
  </si>
  <si>
    <t>Carcharhiniformes</t>
  </si>
  <si>
    <t>Scyliorhinidae</t>
  </si>
  <si>
    <t>Gobius ater</t>
  </si>
  <si>
    <t>Gobius xanthocephalus</t>
  </si>
  <si>
    <t>Coris julis</t>
  </si>
  <si>
    <t>Salaria pavo</t>
  </si>
  <si>
    <t>Chromis chromis</t>
  </si>
  <si>
    <t>Pomacentridae</t>
  </si>
  <si>
    <t>Parablennius gattorugine</t>
  </si>
  <si>
    <t>Citharus linguatula</t>
  </si>
  <si>
    <t>Citharidae</t>
  </si>
  <si>
    <t>Lepadogaster lepadogaster</t>
  </si>
  <si>
    <t>Gobiesocidae</t>
  </si>
  <si>
    <t>Spicara maena</t>
  </si>
  <si>
    <t>Torpedo marmorata</t>
  </si>
  <si>
    <t>Torpediniformes</t>
  </si>
  <si>
    <t>Torpedinidae</t>
  </si>
  <si>
    <t>Serranus scriba</t>
  </si>
  <si>
    <t>Pagellus bogaraveo</t>
  </si>
  <si>
    <t>Tripterygion tripteronotum</t>
  </si>
  <si>
    <t>Aidablennius sphynx</t>
  </si>
  <si>
    <t>Lepadogaster candolii</t>
  </si>
  <si>
    <t>Serranus hepatus</t>
  </si>
  <si>
    <t>Scorpaena notata</t>
  </si>
  <si>
    <t>Lipophrys trigloides</t>
  </si>
  <si>
    <t>Dalophis imberbis</t>
  </si>
  <si>
    <t>Ophichthidae</t>
  </si>
  <si>
    <t>Gobius cruentatus</t>
  </si>
  <si>
    <t>Millerigobius macrocephalus</t>
  </si>
  <si>
    <t>Parablennius pilicornis</t>
  </si>
  <si>
    <t>Spondyliosoma cantharus</t>
  </si>
  <si>
    <t>Euthynnus alletteratus</t>
  </si>
  <si>
    <t>T_capelanus_T_minutus</t>
  </si>
  <si>
    <t>Gadidae</t>
  </si>
  <si>
    <t>Cepola macrophthalma</t>
  </si>
  <si>
    <t>Priacanthiformes</t>
  </si>
  <si>
    <t>(in: bony fishes)</t>
  </si>
  <si>
    <t>Leuciscinae</t>
  </si>
  <si>
    <t>Cypriniformes</t>
  </si>
  <si>
    <t>Leuciscidae</t>
  </si>
  <si>
    <t>Sarda sarda</t>
  </si>
  <si>
    <t>Microlipophrys canevae</t>
  </si>
  <si>
    <t>Diplodus cervinus</t>
  </si>
  <si>
    <t>Symphodus ocellatus</t>
  </si>
  <si>
    <t>Tripterygion delaisi</t>
  </si>
  <si>
    <t>Thalassoma pavo</t>
  </si>
  <si>
    <t>Synodus saurus</t>
  </si>
  <si>
    <t>Aulopiformes</t>
  </si>
  <si>
    <t>Synodontidae</t>
  </si>
  <si>
    <t>Parablennius rouxi</t>
  </si>
  <si>
    <t>Pseudaphya ferreri</t>
  </si>
  <si>
    <t>Callionymus maculatus</t>
  </si>
  <si>
    <t>Callionymidae</t>
  </si>
  <si>
    <t>Blennius ocellaris</t>
  </si>
  <si>
    <t>E. gurnardus_T. lyra</t>
  </si>
  <si>
    <t>Odondebuenia balearica</t>
  </si>
  <si>
    <t>C. heterurus_H. speculiger</t>
  </si>
  <si>
    <t>Exocoetidae</t>
  </si>
  <si>
    <t>Trachinus draco</t>
  </si>
  <si>
    <t>Trachinidae</t>
  </si>
  <si>
    <t>Zebrus zebrus</t>
  </si>
  <si>
    <t>Ctenolabrus rupestris</t>
  </si>
  <si>
    <t>Apogon imberbis</t>
  </si>
  <si>
    <t>Kurtiformes</t>
  </si>
  <si>
    <t>Apogonidae</t>
  </si>
  <si>
    <t>Cololabis saira</t>
  </si>
  <si>
    <t>Myctophum punctatum</t>
  </si>
  <si>
    <t>Myctophiformes</t>
  </si>
  <si>
    <t>Myctophidae</t>
  </si>
  <si>
    <t>Salmoniformes</t>
  </si>
  <si>
    <t>Salmonidae</t>
  </si>
  <si>
    <t>Gobius geniporus</t>
  </si>
  <si>
    <t>Sphyraena viridensis</t>
  </si>
  <si>
    <t>Dactylopterus volitans</t>
  </si>
  <si>
    <t>Dactylopteridae</t>
  </si>
  <si>
    <t>Spicara smaris</t>
  </si>
  <si>
    <t>Buglossidium luteum</t>
  </si>
  <si>
    <t>Anthias anthias</t>
  </si>
  <si>
    <t>Ariosoma balearicum</t>
  </si>
  <si>
    <t>Gambusia holbrooki</t>
  </si>
  <si>
    <t>Cyprinodontiformes</t>
  </si>
  <si>
    <t>Poeciliidae</t>
  </si>
  <si>
    <t>Centrarchiformes</t>
  </si>
  <si>
    <t>Centrarchidae</t>
  </si>
  <si>
    <t>Pomatoschistus minutus</t>
  </si>
  <si>
    <t>Symphodus bailloni</t>
  </si>
  <si>
    <t>Anguillidae</t>
  </si>
  <si>
    <t>Corcyrogobius liechtensteini</t>
  </si>
  <si>
    <t>Gobius paganellus</t>
  </si>
  <si>
    <t>Mobula mobular</t>
  </si>
  <si>
    <t>Trachinotus ovatus</t>
  </si>
  <si>
    <t>Bothus podas</t>
  </si>
  <si>
    <t>db</t>
  </si>
  <si>
    <t>Mugil sp.</t>
  </si>
  <si>
    <t>Auxis sp.</t>
  </si>
  <si>
    <t>Symphodus sp.</t>
  </si>
  <si>
    <t>Lepomis sp.</t>
  </si>
  <si>
    <t>Anguilla sp.</t>
  </si>
  <si>
    <t>Squalius sp.</t>
  </si>
  <si>
    <t>Alosa sp.</t>
  </si>
  <si>
    <t>Oncorhynchus sp.</t>
  </si>
  <si>
    <t>Gobius sp.</t>
  </si>
  <si>
    <t>nb_rep</t>
  </si>
  <si>
    <t>nb_seq</t>
  </si>
  <si>
    <t>Project</t>
  </si>
  <si>
    <t>Region</t>
  </si>
  <si>
    <t>Country</t>
  </si>
  <si>
    <t>Date</t>
  </si>
  <si>
    <t>Sample</t>
  </si>
  <si>
    <t>France</t>
  </si>
  <si>
    <t>Ophisurus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</si>
</sst>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5" xfId="2" applyNumberFormat="1" applyFont="1" applyBorder="1"/>
    <xf numFmtId="164" fontId="0" fillId="0" borderId="6" xfId="2" applyNumberFormat="1" applyFont="1" applyBorder="1"/>
    <xf numFmtId="164" fontId="0" fillId="0" borderId="2" xfId="2" applyNumberFormat="1" applyFont="1" applyBorder="1"/>
    <xf numFmtId="164" fontId="0" fillId="0" borderId="4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0" fontId="3" fillId="0" borderId="5" xfId="0" applyFont="1" applyBorder="1"/>
    <xf numFmtId="0" fontId="3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0" fillId="0" borderId="3" xfId="0" applyBorder="1"/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1E76-84A2-49BC-8A40-4CDAEB08FFD3}">
  <dimension ref="A1:AA142"/>
  <sheetViews>
    <sheetView tabSelected="1" topLeftCell="A132" workbookViewId="0">
      <selection activeCell="G156" sqref="G156"/>
    </sheetView>
  </sheetViews>
  <sheetFormatPr baseColWidth="10" defaultColWidth="11.44140625" defaultRowHeight="14.4" x14ac:dyDescent="0.3"/>
  <cols>
    <col min="1" max="1" width="14.44140625" bestFit="1" customWidth="1"/>
    <col min="2" max="2" width="18.44140625" bestFit="1" customWidth="1"/>
    <col min="3" max="3" width="15.109375" bestFit="1" customWidth="1"/>
    <col min="4" max="4" width="39" bestFit="1" customWidth="1"/>
    <col min="5" max="5" width="13.33203125" bestFit="1" customWidth="1"/>
    <col min="6" max="27" width="15.6640625" customWidth="1"/>
  </cols>
  <sheetData>
    <row r="1" spans="1:27" s="1" customFormat="1" x14ac:dyDescent="0.3">
      <c r="A1" s="21" t="s">
        <v>247</v>
      </c>
      <c r="B1" s="22"/>
      <c r="C1" s="22"/>
      <c r="D1" s="22"/>
      <c r="E1" s="22"/>
      <c r="F1" s="3" t="s">
        <v>0</v>
      </c>
      <c r="G1" s="4" t="s">
        <v>0</v>
      </c>
      <c r="H1" s="3" t="s">
        <v>0</v>
      </c>
      <c r="I1" s="4" t="s">
        <v>0</v>
      </c>
      <c r="J1" s="3" t="s">
        <v>0</v>
      </c>
      <c r="K1" s="4" t="s">
        <v>0</v>
      </c>
      <c r="L1" s="3" t="s">
        <v>0</v>
      </c>
      <c r="M1" s="4" t="s">
        <v>0</v>
      </c>
      <c r="N1" s="3" t="s">
        <v>0</v>
      </c>
      <c r="O1" s="4" t="s">
        <v>0</v>
      </c>
      <c r="P1" s="3" t="s">
        <v>0</v>
      </c>
      <c r="Q1" s="4" t="s">
        <v>0</v>
      </c>
      <c r="R1" s="3" t="s">
        <v>0</v>
      </c>
      <c r="S1" s="4" t="s">
        <v>0</v>
      </c>
      <c r="T1" s="3" t="s">
        <v>0</v>
      </c>
      <c r="U1" s="4" t="s">
        <v>0</v>
      </c>
      <c r="V1" s="3" t="s">
        <v>0</v>
      </c>
      <c r="W1" s="4" t="s">
        <v>0</v>
      </c>
      <c r="X1" s="3" t="s">
        <v>0</v>
      </c>
      <c r="Y1" s="4" t="s">
        <v>0</v>
      </c>
      <c r="Z1" s="3" t="s">
        <v>0</v>
      </c>
      <c r="AA1" s="4" t="s">
        <v>0</v>
      </c>
    </row>
    <row r="2" spans="1:27" s="1" customFormat="1" x14ac:dyDescent="0.3">
      <c r="A2" s="23" t="s">
        <v>248</v>
      </c>
      <c r="B2" s="24"/>
      <c r="C2" s="24"/>
      <c r="D2" s="24"/>
      <c r="E2" s="24"/>
      <c r="F2" s="5" t="s">
        <v>16</v>
      </c>
      <c r="G2" s="6" t="s">
        <v>16</v>
      </c>
      <c r="H2" s="5" t="s">
        <v>16</v>
      </c>
      <c r="I2" s="6" t="s">
        <v>16</v>
      </c>
      <c r="J2" s="5" t="s">
        <v>16</v>
      </c>
      <c r="K2" s="6" t="s">
        <v>16</v>
      </c>
      <c r="L2" s="5" t="s">
        <v>16</v>
      </c>
      <c r="M2" s="6" t="s">
        <v>16</v>
      </c>
      <c r="N2" s="5" t="s">
        <v>15</v>
      </c>
      <c r="O2" s="6" t="s">
        <v>15</v>
      </c>
      <c r="P2" s="5" t="s">
        <v>15</v>
      </c>
      <c r="Q2" s="6" t="s">
        <v>15</v>
      </c>
      <c r="R2" s="5" t="s">
        <v>14</v>
      </c>
      <c r="S2" s="6" t="s">
        <v>14</v>
      </c>
      <c r="T2" s="5" t="s">
        <v>14</v>
      </c>
      <c r="U2" s="6" t="s">
        <v>14</v>
      </c>
      <c r="V2" s="5" t="s">
        <v>14</v>
      </c>
      <c r="W2" s="6" t="s">
        <v>14</v>
      </c>
      <c r="X2" s="5" t="s">
        <v>13</v>
      </c>
      <c r="Y2" s="6" t="s">
        <v>13</v>
      </c>
      <c r="Z2" s="5" t="s">
        <v>13</v>
      </c>
      <c r="AA2" s="6" t="s">
        <v>13</v>
      </c>
    </row>
    <row r="3" spans="1:27" s="1" customFormat="1" x14ac:dyDescent="0.3">
      <c r="A3" s="23" t="s">
        <v>249</v>
      </c>
      <c r="B3" s="24"/>
      <c r="C3" s="24"/>
      <c r="D3" s="24"/>
      <c r="E3" s="24"/>
      <c r="F3" s="5" t="s">
        <v>252</v>
      </c>
      <c r="G3" s="6" t="s">
        <v>252</v>
      </c>
      <c r="H3" s="5" t="s">
        <v>252</v>
      </c>
      <c r="I3" s="6" t="s">
        <v>252</v>
      </c>
      <c r="J3" s="5" t="s">
        <v>252</v>
      </c>
      <c r="K3" s="6" t="s">
        <v>252</v>
      </c>
      <c r="L3" s="5" t="s">
        <v>252</v>
      </c>
      <c r="M3" s="6" t="s">
        <v>252</v>
      </c>
      <c r="N3" s="5" t="s">
        <v>252</v>
      </c>
      <c r="O3" s="6" t="s">
        <v>252</v>
      </c>
      <c r="P3" s="5" t="s">
        <v>252</v>
      </c>
      <c r="Q3" s="6" t="s">
        <v>252</v>
      </c>
      <c r="R3" s="5" t="s">
        <v>252</v>
      </c>
      <c r="S3" s="6" t="s">
        <v>252</v>
      </c>
      <c r="T3" s="5" t="s">
        <v>252</v>
      </c>
      <c r="U3" s="6" t="s">
        <v>252</v>
      </c>
      <c r="V3" s="5" t="s">
        <v>252</v>
      </c>
      <c r="W3" s="6" t="s">
        <v>252</v>
      </c>
      <c r="X3" s="5" t="s">
        <v>252</v>
      </c>
      <c r="Y3" s="6" t="s">
        <v>252</v>
      </c>
      <c r="Z3" s="5" t="s">
        <v>252</v>
      </c>
      <c r="AA3" s="6" t="s">
        <v>252</v>
      </c>
    </row>
    <row r="4" spans="1:27" s="2" customFormat="1" x14ac:dyDescent="0.3">
      <c r="A4" s="25" t="s">
        <v>250</v>
      </c>
      <c r="B4" s="26"/>
      <c r="C4" s="26"/>
      <c r="D4" s="26"/>
      <c r="E4" s="26"/>
      <c r="F4" s="7">
        <v>45898</v>
      </c>
      <c r="G4" s="8">
        <v>45898</v>
      </c>
      <c r="H4" s="7">
        <v>45898</v>
      </c>
      <c r="I4" s="8">
        <v>45898</v>
      </c>
      <c r="J4" s="7">
        <v>45898</v>
      </c>
      <c r="K4" s="8">
        <v>45898</v>
      </c>
      <c r="L4" s="7">
        <v>45898</v>
      </c>
      <c r="M4" s="8">
        <v>45898</v>
      </c>
      <c r="N4" s="7">
        <v>45895</v>
      </c>
      <c r="O4" s="8">
        <v>45895</v>
      </c>
      <c r="P4" s="7">
        <v>45895</v>
      </c>
      <c r="Q4" s="8">
        <v>45895</v>
      </c>
      <c r="R4" s="7">
        <v>45895</v>
      </c>
      <c r="S4" s="8">
        <v>45895</v>
      </c>
      <c r="T4" s="7">
        <v>45898</v>
      </c>
      <c r="U4" s="8">
        <v>45898</v>
      </c>
      <c r="V4" s="7">
        <v>45898</v>
      </c>
      <c r="W4" s="8">
        <v>45898</v>
      </c>
      <c r="X4" s="7">
        <v>45903</v>
      </c>
      <c r="Y4" s="8">
        <v>45903</v>
      </c>
      <c r="Z4" s="7">
        <v>45903</v>
      </c>
      <c r="AA4" s="8">
        <v>45903</v>
      </c>
    </row>
    <row r="5" spans="1:27" s="1" customFormat="1" x14ac:dyDescent="0.3">
      <c r="A5" s="23" t="s">
        <v>251</v>
      </c>
      <c r="B5" s="24"/>
      <c r="C5" s="24"/>
      <c r="D5" s="24"/>
      <c r="E5" s="24"/>
      <c r="F5" s="5" t="s">
        <v>9</v>
      </c>
      <c r="G5" s="6" t="s">
        <v>9</v>
      </c>
      <c r="H5" s="5" t="s">
        <v>7</v>
      </c>
      <c r="I5" s="6" t="s">
        <v>7</v>
      </c>
      <c r="J5" s="5" t="s">
        <v>3</v>
      </c>
      <c r="K5" s="6" t="s">
        <v>3</v>
      </c>
      <c r="L5" s="5" t="s">
        <v>4</v>
      </c>
      <c r="M5" s="6" t="s">
        <v>4</v>
      </c>
      <c r="N5" s="5" t="s">
        <v>1</v>
      </c>
      <c r="O5" s="6" t="s">
        <v>1</v>
      </c>
      <c r="P5" s="5" t="s">
        <v>5</v>
      </c>
      <c r="Q5" s="6" t="s">
        <v>5</v>
      </c>
      <c r="R5" s="5" t="s">
        <v>10</v>
      </c>
      <c r="S5" s="6" t="s">
        <v>10</v>
      </c>
      <c r="T5" s="5" t="s">
        <v>11</v>
      </c>
      <c r="U5" s="6" t="s">
        <v>11</v>
      </c>
      <c r="V5" s="5" t="s">
        <v>8</v>
      </c>
      <c r="W5" s="6" t="s">
        <v>8</v>
      </c>
      <c r="X5" s="5" t="s">
        <v>6</v>
      </c>
      <c r="Y5" s="6" t="s">
        <v>6</v>
      </c>
      <c r="Z5" s="5" t="s">
        <v>2</v>
      </c>
      <c r="AA5" s="6" t="s">
        <v>2</v>
      </c>
    </row>
    <row r="6" spans="1:27" s="1" customFormat="1" ht="15" thickBot="1" x14ac:dyDescent="0.35">
      <c r="A6" s="9" t="s">
        <v>18</v>
      </c>
      <c r="B6" s="10" t="s">
        <v>19</v>
      </c>
      <c r="C6" s="10" t="s">
        <v>20</v>
      </c>
      <c r="D6" s="10" t="s">
        <v>17</v>
      </c>
      <c r="E6" s="10" t="s">
        <v>235</v>
      </c>
      <c r="F6" s="9" t="s">
        <v>245</v>
      </c>
      <c r="G6" s="11" t="s">
        <v>246</v>
      </c>
      <c r="H6" s="9" t="s">
        <v>245</v>
      </c>
      <c r="I6" s="11" t="s">
        <v>246</v>
      </c>
      <c r="J6" s="9" t="s">
        <v>245</v>
      </c>
      <c r="K6" s="11" t="s">
        <v>246</v>
      </c>
      <c r="L6" s="9" t="s">
        <v>245</v>
      </c>
      <c r="M6" s="11" t="s">
        <v>246</v>
      </c>
      <c r="N6" s="9" t="s">
        <v>245</v>
      </c>
      <c r="O6" s="11" t="s">
        <v>246</v>
      </c>
      <c r="P6" s="9" t="s">
        <v>245</v>
      </c>
      <c r="Q6" s="11" t="s">
        <v>246</v>
      </c>
      <c r="R6" s="9" t="s">
        <v>245</v>
      </c>
      <c r="S6" s="11" t="s">
        <v>246</v>
      </c>
      <c r="T6" s="9" t="s">
        <v>245</v>
      </c>
      <c r="U6" s="11" t="s">
        <v>246</v>
      </c>
      <c r="V6" s="9" t="s">
        <v>245</v>
      </c>
      <c r="W6" s="11" t="s">
        <v>246</v>
      </c>
      <c r="X6" s="9" t="s">
        <v>245</v>
      </c>
      <c r="Y6" s="11" t="s">
        <v>246</v>
      </c>
      <c r="Z6" s="9" t="s">
        <v>245</v>
      </c>
      <c r="AA6" s="11" t="s">
        <v>246</v>
      </c>
    </row>
    <row r="7" spans="1:27" x14ac:dyDescent="0.3">
      <c r="A7" s="27" t="s">
        <v>24</v>
      </c>
      <c r="B7" s="28" t="s">
        <v>62</v>
      </c>
      <c r="C7" s="28" t="s">
        <v>229</v>
      </c>
      <c r="D7" s="28" t="s">
        <v>240</v>
      </c>
      <c r="E7" s="29" t="s">
        <v>21</v>
      </c>
      <c r="F7" s="14"/>
      <c r="G7" s="15"/>
      <c r="H7" s="14">
        <v>1</v>
      </c>
      <c r="I7" s="15">
        <v>34</v>
      </c>
      <c r="J7" s="14"/>
      <c r="K7" s="15"/>
      <c r="L7" s="14">
        <v>1</v>
      </c>
      <c r="M7" s="15">
        <v>81</v>
      </c>
      <c r="N7" s="14"/>
      <c r="O7" s="15"/>
      <c r="P7" s="14"/>
      <c r="Q7" s="15"/>
      <c r="R7" s="14">
        <v>1</v>
      </c>
      <c r="S7" s="15">
        <v>36</v>
      </c>
      <c r="T7" s="14">
        <v>1</v>
      </c>
      <c r="U7" s="15">
        <v>46</v>
      </c>
      <c r="V7" s="14"/>
      <c r="W7" s="15"/>
      <c r="X7" s="14"/>
      <c r="Y7" s="15"/>
      <c r="Z7" s="14"/>
      <c r="AA7" s="15"/>
    </row>
    <row r="8" spans="1:27" x14ac:dyDescent="0.3">
      <c r="A8" s="18" t="s">
        <v>24</v>
      </c>
      <c r="B8" s="19" t="s">
        <v>62</v>
      </c>
      <c r="C8" s="19" t="s">
        <v>63</v>
      </c>
      <c r="D8" s="19" t="s">
        <v>221</v>
      </c>
      <c r="E8" s="20" t="s">
        <v>21</v>
      </c>
      <c r="F8" s="12"/>
      <c r="G8" s="13"/>
      <c r="H8" s="12"/>
      <c r="I8" s="13"/>
      <c r="J8" s="12">
        <v>1</v>
      </c>
      <c r="K8" s="13">
        <v>15</v>
      </c>
      <c r="L8" s="12"/>
      <c r="M8" s="13"/>
      <c r="N8" s="12">
        <v>2</v>
      </c>
      <c r="O8" s="13">
        <v>107</v>
      </c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</row>
    <row r="9" spans="1:27" x14ac:dyDescent="0.3">
      <c r="A9" s="18" t="s">
        <v>24</v>
      </c>
      <c r="B9" s="19" t="s">
        <v>62</v>
      </c>
      <c r="C9" s="19" t="s">
        <v>63</v>
      </c>
      <c r="D9" s="19" t="s">
        <v>61</v>
      </c>
      <c r="E9" s="20" t="s">
        <v>22</v>
      </c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>
        <v>11</v>
      </c>
      <c r="S9" s="13">
        <v>9557</v>
      </c>
      <c r="T9" s="12">
        <v>12</v>
      </c>
      <c r="U9" s="13">
        <v>3576</v>
      </c>
      <c r="V9" s="12">
        <v>10</v>
      </c>
      <c r="W9" s="13">
        <v>2921</v>
      </c>
      <c r="X9" s="12">
        <v>10</v>
      </c>
      <c r="Y9" s="13">
        <v>1247</v>
      </c>
      <c r="Z9" s="12">
        <v>7</v>
      </c>
      <c r="AA9" s="13">
        <v>2393</v>
      </c>
    </row>
    <row r="10" spans="1:27" x14ac:dyDescent="0.3">
      <c r="A10" s="18" t="s">
        <v>24</v>
      </c>
      <c r="B10" s="19" t="s">
        <v>62</v>
      </c>
      <c r="C10" s="19" t="s">
        <v>109</v>
      </c>
      <c r="D10" s="19" t="s">
        <v>108</v>
      </c>
      <c r="E10" s="20" t="s">
        <v>22</v>
      </c>
      <c r="F10" s="12"/>
      <c r="G10" s="13"/>
      <c r="H10" s="12">
        <v>1</v>
      </c>
      <c r="I10" s="13">
        <v>26</v>
      </c>
      <c r="J10" s="12"/>
      <c r="K10" s="13"/>
      <c r="L10" s="12">
        <v>4</v>
      </c>
      <c r="M10" s="13">
        <v>154</v>
      </c>
      <c r="N10" s="12"/>
      <c r="O10" s="13"/>
      <c r="P10" s="12"/>
      <c r="Q10" s="13"/>
      <c r="R10" s="12">
        <v>7</v>
      </c>
      <c r="S10" s="13">
        <v>1189</v>
      </c>
      <c r="T10" s="12">
        <v>4</v>
      </c>
      <c r="U10" s="13">
        <v>767</v>
      </c>
      <c r="V10" s="12">
        <v>4</v>
      </c>
      <c r="W10" s="13">
        <v>488</v>
      </c>
      <c r="X10" s="12"/>
      <c r="Y10" s="13"/>
      <c r="Z10" s="12"/>
      <c r="AA10" s="13"/>
    </row>
    <row r="11" spans="1:27" x14ac:dyDescent="0.3">
      <c r="A11" s="18" t="s">
        <v>24</v>
      </c>
      <c r="B11" s="19" t="s">
        <v>62</v>
      </c>
      <c r="C11" s="19" t="s">
        <v>169</v>
      </c>
      <c r="D11" s="19" t="s">
        <v>168</v>
      </c>
      <c r="E11" s="20" t="s">
        <v>22</v>
      </c>
      <c r="F11" s="12"/>
      <c r="G11" s="13"/>
      <c r="H11" s="12"/>
      <c r="I11" s="13"/>
      <c r="J11" s="12"/>
      <c r="K11" s="13"/>
      <c r="L11" s="12"/>
      <c r="M11" s="13"/>
      <c r="N11" s="12">
        <v>2</v>
      </c>
      <c r="O11" s="13">
        <v>275</v>
      </c>
      <c r="P11" s="12">
        <v>4</v>
      </c>
      <c r="Q11" s="13">
        <v>1435</v>
      </c>
      <c r="R11" s="12"/>
      <c r="S11" s="13"/>
      <c r="T11" s="12"/>
      <c r="U11" s="13"/>
      <c r="V11" s="12"/>
      <c r="W11" s="13"/>
      <c r="X11" s="12">
        <v>1</v>
      </c>
      <c r="Y11" s="13">
        <v>30</v>
      </c>
      <c r="Z11" s="12">
        <v>3</v>
      </c>
      <c r="AA11" s="13">
        <v>225</v>
      </c>
    </row>
    <row r="12" spans="1:27" x14ac:dyDescent="0.3">
      <c r="A12" s="18" t="s">
        <v>24</v>
      </c>
      <c r="B12" s="19" t="s">
        <v>62</v>
      </c>
      <c r="C12" s="19" t="s">
        <v>169</v>
      </c>
      <c r="D12" s="19" t="s">
        <v>253</v>
      </c>
      <c r="E12" s="20" t="s">
        <v>21</v>
      </c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>
        <v>1</v>
      </c>
      <c r="AA12" s="13">
        <v>15</v>
      </c>
    </row>
    <row r="13" spans="1:27" x14ac:dyDescent="0.3">
      <c r="A13" s="18" t="s">
        <v>24</v>
      </c>
      <c r="B13" s="19" t="s">
        <v>190</v>
      </c>
      <c r="C13" s="19" t="s">
        <v>191</v>
      </c>
      <c r="D13" s="19" t="s">
        <v>189</v>
      </c>
      <c r="E13" s="20" t="s">
        <v>22</v>
      </c>
      <c r="F13" s="12"/>
      <c r="G13" s="13"/>
      <c r="H13" s="12"/>
      <c r="I13" s="13"/>
      <c r="J13" s="12">
        <v>1</v>
      </c>
      <c r="K13" s="13">
        <v>24</v>
      </c>
      <c r="L13" s="12"/>
      <c r="M13" s="13"/>
      <c r="N13" s="12"/>
      <c r="O13" s="13"/>
      <c r="P13" s="12"/>
      <c r="Q13" s="13"/>
      <c r="R13" s="12">
        <v>1</v>
      </c>
      <c r="S13" s="13">
        <v>79</v>
      </c>
      <c r="T13" s="12">
        <v>1</v>
      </c>
      <c r="U13" s="13">
        <v>33</v>
      </c>
      <c r="V13" s="12">
        <v>3</v>
      </c>
      <c r="W13" s="13">
        <v>71</v>
      </c>
      <c r="X13" s="12"/>
      <c r="Y13" s="13"/>
      <c r="Z13" s="12"/>
      <c r="AA13" s="13"/>
    </row>
    <row r="14" spans="1:27" x14ac:dyDescent="0.3">
      <c r="A14" s="18" t="s">
        <v>24</v>
      </c>
      <c r="B14" s="19" t="s">
        <v>45</v>
      </c>
      <c r="C14" s="19" t="s">
        <v>46</v>
      </c>
      <c r="D14" s="19" t="s">
        <v>44</v>
      </c>
      <c r="E14" s="20" t="s">
        <v>22</v>
      </c>
      <c r="F14" s="12">
        <v>4</v>
      </c>
      <c r="G14" s="13">
        <v>2180</v>
      </c>
      <c r="H14" s="12">
        <v>4</v>
      </c>
      <c r="I14" s="13">
        <v>259</v>
      </c>
      <c r="J14" s="12">
        <v>8</v>
      </c>
      <c r="K14" s="13">
        <v>5004</v>
      </c>
      <c r="L14" s="12">
        <v>8</v>
      </c>
      <c r="M14" s="13">
        <v>796</v>
      </c>
      <c r="N14" s="12">
        <v>6</v>
      </c>
      <c r="O14" s="13">
        <v>6287</v>
      </c>
      <c r="P14" s="12">
        <v>6</v>
      </c>
      <c r="Q14" s="13">
        <v>14062</v>
      </c>
      <c r="R14" s="12">
        <v>12</v>
      </c>
      <c r="S14" s="13">
        <v>60932</v>
      </c>
      <c r="T14" s="12">
        <v>12</v>
      </c>
      <c r="U14" s="13">
        <v>6926</v>
      </c>
      <c r="V14" s="12">
        <v>12</v>
      </c>
      <c r="W14" s="13">
        <v>8162</v>
      </c>
      <c r="X14" s="12"/>
      <c r="Y14" s="13"/>
      <c r="Z14" s="12"/>
      <c r="AA14" s="13"/>
    </row>
    <row r="15" spans="1:27" x14ac:dyDescent="0.3">
      <c r="A15" s="18" t="s">
        <v>24</v>
      </c>
      <c r="B15" s="19" t="s">
        <v>45</v>
      </c>
      <c r="C15" s="19" t="s">
        <v>46</v>
      </c>
      <c r="D15" s="19" t="s">
        <v>208</v>
      </c>
      <c r="E15" s="20" t="s">
        <v>21</v>
      </c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>
        <v>1</v>
      </c>
      <c r="S15" s="13">
        <v>142</v>
      </c>
      <c r="T15" s="12"/>
      <c r="U15" s="13"/>
      <c r="V15" s="12"/>
      <c r="W15" s="13"/>
      <c r="X15" s="12"/>
      <c r="Y15" s="13"/>
      <c r="Z15" s="12"/>
      <c r="AA15" s="13"/>
    </row>
    <row r="16" spans="1:27" x14ac:dyDescent="0.3">
      <c r="A16" s="18" t="s">
        <v>24</v>
      </c>
      <c r="B16" s="19" t="s">
        <v>45</v>
      </c>
      <c r="C16" s="19" t="s">
        <v>200</v>
      </c>
      <c r="D16" s="19" t="s">
        <v>199</v>
      </c>
      <c r="E16" s="20" t="s">
        <v>22</v>
      </c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>
        <v>1</v>
      </c>
      <c r="S16" s="13">
        <v>13</v>
      </c>
      <c r="T16" s="12"/>
      <c r="U16" s="13"/>
      <c r="V16" s="12"/>
      <c r="W16" s="13"/>
      <c r="X16" s="12"/>
      <c r="Y16" s="13"/>
      <c r="Z16" s="12"/>
      <c r="AA16" s="13"/>
    </row>
    <row r="17" spans="1:27" x14ac:dyDescent="0.3">
      <c r="A17" s="18" t="s">
        <v>24</v>
      </c>
      <c r="B17" s="19" t="s">
        <v>98</v>
      </c>
      <c r="C17" s="19" t="s">
        <v>107</v>
      </c>
      <c r="D17" s="19" t="s">
        <v>163</v>
      </c>
      <c r="E17" s="20" t="s">
        <v>22</v>
      </c>
      <c r="F17" s="12">
        <v>4</v>
      </c>
      <c r="G17" s="13">
        <v>1328</v>
      </c>
      <c r="H17" s="12"/>
      <c r="I17" s="13"/>
      <c r="J17" s="12"/>
      <c r="K17" s="13"/>
      <c r="L17" s="12"/>
      <c r="M17" s="13"/>
      <c r="N17" s="12"/>
      <c r="O17" s="13"/>
      <c r="P17" s="12"/>
      <c r="Q17" s="13"/>
      <c r="R17" s="12">
        <v>2</v>
      </c>
      <c r="S17" s="13">
        <v>232</v>
      </c>
      <c r="T17" s="12">
        <v>11</v>
      </c>
      <c r="U17" s="13">
        <v>3072</v>
      </c>
      <c r="V17" s="12">
        <v>9</v>
      </c>
      <c r="W17" s="13">
        <v>5056</v>
      </c>
      <c r="X17" s="12"/>
      <c r="Y17" s="13"/>
      <c r="Z17" s="12"/>
      <c r="AA17" s="13"/>
    </row>
    <row r="18" spans="1:27" x14ac:dyDescent="0.3">
      <c r="A18" s="18" t="s">
        <v>24</v>
      </c>
      <c r="B18" s="19" t="s">
        <v>98</v>
      </c>
      <c r="C18" s="19" t="s">
        <v>107</v>
      </c>
      <c r="D18" s="19" t="s">
        <v>196</v>
      </c>
      <c r="E18" s="20" t="s">
        <v>22</v>
      </c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>
        <v>2</v>
      </c>
      <c r="Y18" s="13">
        <v>204</v>
      </c>
      <c r="Z18" s="12"/>
      <c r="AA18" s="13"/>
    </row>
    <row r="19" spans="1:27" x14ac:dyDescent="0.3">
      <c r="A19" s="18" t="s">
        <v>24</v>
      </c>
      <c r="B19" s="19" t="s">
        <v>98</v>
      </c>
      <c r="C19" s="19" t="s">
        <v>107</v>
      </c>
      <c r="D19" s="19" t="s">
        <v>167</v>
      </c>
      <c r="E19" s="20" t="s">
        <v>22</v>
      </c>
      <c r="F19" s="12">
        <v>2</v>
      </c>
      <c r="G19" s="13">
        <v>954</v>
      </c>
      <c r="H19" s="12"/>
      <c r="I19" s="13"/>
      <c r="J19" s="12">
        <v>4</v>
      </c>
      <c r="K19" s="13">
        <v>2495</v>
      </c>
      <c r="L19" s="12"/>
      <c r="M19" s="13"/>
      <c r="N19" s="12"/>
      <c r="O19" s="13"/>
      <c r="P19" s="12"/>
      <c r="Q19" s="13"/>
      <c r="R19" s="12">
        <v>12</v>
      </c>
      <c r="S19" s="13">
        <v>4872</v>
      </c>
      <c r="T19" s="12">
        <v>6</v>
      </c>
      <c r="U19" s="13">
        <v>786</v>
      </c>
      <c r="V19" s="12">
        <v>7</v>
      </c>
      <c r="W19" s="13">
        <v>950</v>
      </c>
      <c r="X19" s="12"/>
      <c r="Y19" s="13"/>
      <c r="Z19" s="12"/>
      <c r="AA19" s="13"/>
    </row>
    <row r="20" spans="1:27" x14ac:dyDescent="0.3">
      <c r="A20" s="18" t="s">
        <v>24</v>
      </c>
      <c r="B20" s="19" t="s">
        <v>98</v>
      </c>
      <c r="C20" s="19" t="s">
        <v>107</v>
      </c>
      <c r="D20" s="19" t="s">
        <v>184</v>
      </c>
      <c r="E20" s="20" t="s">
        <v>22</v>
      </c>
      <c r="F20" s="12"/>
      <c r="G20" s="13"/>
      <c r="H20" s="12">
        <v>1</v>
      </c>
      <c r="I20" s="13">
        <v>135</v>
      </c>
      <c r="J20" s="12">
        <v>1</v>
      </c>
      <c r="K20" s="13">
        <v>1595</v>
      </c>
      <c r="L20" s="12"/>
      <c r="M20" s="13"/>
      <c r="N20" s="12"/>
      <c r="O20" s="13"/>
      <c r="P20" s="12"/>
      <c r="Q20" s="13"/>
      <c r="R20" s="12">
        <v>9</v>
      </c>
      <c r="S20" s="13">
        <v>4793</v>
      </c>
      <c r="T20" s="12">
        <v>4</v>
      </c>
      <c r="U20" s="13">
        <v>681</v>
      </c>
      <c r="V20" s="12">
        <v>1</v>
      </c>
      <c r="W20" s="13">
        <v>108</v>
      </c>
      <c r="X20" s="12"/>
      <c r="Y20" s="13"/>
      <c r="Z20" s="12"/>
      <c r="AA20" s="13"/>
    </row>
    <row r="21" spans="1:27" x14ac:dyDescent="0.3">
      <c r="A21" s="18" t="s">
        <v>24</v>
      </c>
      <c r="B21" s="19" t="s">
        <v>98</v>
      </c>
      <c r="C21" s="19" t="s">
        <v>107</v>
      </c>
      <c r="D21" s="19" t="s">
        <v>112</v>
      </c>
      <c r="E21" s="20" t="s">
        <v>22</v>
      </c>
      <c r="F21" s="12"/>
      <c r="G21" s="13"/>
      <c r="H21" s="12">
        <v>1</v>
      </c>
      <c r="I21" s="13">
        <v>130</v>
      </c>
      <c r="J21" s="12">
        <v>1</v>
      </c>
      <c r="K21" s="13">
        <v>733</v>
      </c>
      <c r="L21" s="12">
        <v>6</v>
      </c>
      <c r="M21" s="13">
        <v>408</v>
      </c>
      <c r="N21" s="12"/>
      <c r="O21" s="13"/>
      <c r="P21" s="12">
        <v>3</v>
      </c>
      <c r="Q21" s="13">
        <v>16057</v>
      </c>
      <c r="R21" s="12">
        <v>12</v>
      </c>
      <c r="S21" s="13">
        <v>7445</v>
      </c>
      <c r="T21" s="12">
        <v>8</v>
      </c>
      <c r="U21" s="13">
        <v>1725</v>
      </c>
      <c r="V21" s="12">
        <v>3</v>
      </c>
      <c r="W21" s="13">
        <v>813</v>
      </c>
      <c r="X21" s="12"/>
      <c r="Y21" s="13"/>
      <c r="Z21" s="12"/>
      <c r="AA21" s="13"/>
    </row>
    <row r="22" spans="1:27" x14ac:dyDescent="0.3">
      <c r="A22" s="18" t="s">
        <v>24</v>
      </c>
      <c r="B22" s="19" t="s">
        <v>98</v>
      </c>
      <c r="C22" s="19" t="s">
        <v>107</v>
      </c>
      <c r="D22" s="19" t="s">
        <v>151</v>
      </c>
      <c r="E22" s="20" t="s">
        <v>22</v>
      </c>
      <c r="F22" s="12">
        <v>5</v>
      </c>
      <c r="G22" s="13">
        <v>13389</v>
      </c>
      <c r="H22" s="12">
        <v>3</v>
      </c>
      <c r="I22" s="13">
        <v>369</v>
      </c>
      <c r="J22" s="12">
        <v>4</v>
      </c>
      <c r="K22" s="13">
        <v>6678</v>
      </c>
      <c r="L22" s="12">
        <v>1</v>
      </c>
      <c r="M22" s="13">
        <v>965</v>
      </c>
      <c r="N22" s="12"/>
      <c r="O22" s="13"/>
      <c r="P22" s="12"/>
      <c r="Q22" s="13"/>
      <c r="R22" s="12">
        <v>10</v>
      </c>
      <c r="S22" s="13">
        <v>10818</v>
      </c>
      <c r="T22" s="12">
        <v>11</v>
      </c>
      <c r="U22" s="13">
        <v>5145</v>
      </c>
      <c r="V22" s="12">
        <v>5</v>
      </c>
      <c r="W22" s="13">
        <v>2855</v>
      </c>
      <c r="X22" s="12"/>
      <c r="Y22" s="13"/>
      <c r="Z22" s="12"/>
      <c r="AA22" s="13"/>
    </row>
    <row r="23" spans="1:27" x14ac:dyDescent="0.3">
      <c r="A23" s="18" t="s">
        <v>24</v>
      </c>
      <c r="B23" s="19" t="s">
        <v>98</v>
      </c>
      <c r="C23" s="19" t="s">
        <v>107</v>
      </c>
      <c r="D23" s="19" t="s">
        <v>172</v>
      </c>
      <c r="E23" s="20" t="s">
        <v>22</v>
      </c>
      <c r="F23" s="12"/>
      <c r="G23" s="13"/>
      <c r="H23" s="12">
        <v>1</v>
      </c>
      <c r="I23" s="13">
        <v>178</v>
      </c>
      <c r="J23" s="12">
        <v>1</v>
      </c>
      <c r="K23" s="13">
        <v>473</v>
      </c>
      <c r="L23" s="12">
        <v>2</v>
      </c>
      <c r="M23" s="13">
        <v>645</v>
      </c>
      <c r="N23" s="12">
        <v>1</v>
      </c>
      <c r="O23" s="13">
        <v>1503</v>
      </c>
      <c r="P23" s="12"/>
      <c r="Q23" s="13"/>
      <c r="R23" s="12">
        <v>5</v>
      </c>
      <c r="S23" s="13">
        <v>1282</v>
      </c>
      <c r="T23" s="12">
        <v>7</v>
      </c>
      <c r="U23" s="13">
        <v>2530</v>
      </c>
      <c r="V23" s="12">
        <v>8</v>
      </c>
      <c r="W23" s="13">
        <v>2492</v>
      </c>
      <c r="X23" s="12"/>
      <c r="Y23" s="13"/>
      <c r="Z23" s="12"/>
      <c r="AA23" s="13"/>
    </row>
    <row r="24" spans="1:27" x14ac:dyDescent="0.3">
      <c r="A24" s="18" t="s">
        <v>24</v>
      </c>
      <c r="B24" s="19" t="s">
        <v>98</v>
      </c>
      <c r="C24" s="19" t="s">
        <v>107</v>
      </c>
      <c r="D24" s="19" t="s">
        <v>192</v>
      </c>
      <c r="E24" s="20" t="s">
        <v>22</v>
      </c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>
        <v>3</v>
      </c>
      <c r="S24" s="13">
        <v>658</v>
      </c>
      <c r="T24" s="12">
        <v>3</v>
      </c>
      <c r="U24" s="13">
        <v>549</v>
      </c>
      <c r="V24" s="12"/>
      <c r="W24" s="13"/>
      <c r="X24" s="12"/>
      <c r="Y24" s="13"/>
      <c r="Z24" s="12"/>
      <c r="AA24" s="13"/>
    </row>
    <row r="25" spans="1:27" x14ac:dyDescent="0.3">
      <c r="A25" s="18" t="s">
        <v>24</v>
      </c>
      <c r="B25" s="19" t="s">
        <v>98</v>
      </c>
      <c r="C25" s="19" t="s">
        <v>107</v>
      </c>
      <c r="D25" s="19" t="s">
        <v>106</v>
      </c>
      <c r="E25" s="20" t="s">
        <v>22</v>
      </c>
      <c r="F25" s="12">
        <v>8</v>
      </c>
      <c r="G25" s="13">
        <v>3025</v>
      </c>
      <c r="H25" s="12">
        <v>9</v>
      </c>
      <c r="I25" s="13">
        <v>2374</v>
      </c>
      <c r="J25" s="12">
        <v>5</v>
      </c>
      <c r="K25" s="13">
        <v>3378</v>
      </c>
      <c r="L25" s="12">
        <v>10</v>
      </c>
      <c r="M25" s="13">
        <v>2471</v>
      </c>
      <c r="N25" s="12"/>
      <c r="O25" s="13"/>
      <c r="P25" s="12"/>
      <c r="Q25" s="13"/>
      <c r="R25" s="12">
        <v>12</v>
      </c>
      <c r="S25" s="13">
        <v>6169</v>
      </c>
      <c r="T25" s="12">
        <v>12</v>
      </c>
      <c r="U25" s="13">
        <v>4695</v>
      </c>
      <c r="V25" s="12">
        <v>10</v>
      </c>
      <c r="W25" s="13">
        <v>3798</v>
      </c>
      <c r="X25" s="12"/>
      <c r="Y25" s="13"/>
      <c r="Z25" s="12"/>
      <c r="AA25" s="13"/>
    </row>
    <row r="26" spans="1:27" x14ac:dyDescent="0.3">
      <c r="A26" s="18" t="s">
        <v>24</v>
      </c>
      <c r="B26" s="19" t="s">
        <v>98</v>
      </c>
      <c r="C26" s="19" t="s">
        <v>107</v>
      </c>
      <c r="D26" s="19" t="s">
        <v>148</v>
      </c>
      <c r="E26" s="20" t="s">
        <v>22</v>
      </c>
      <c r="F26" s="12"/>
      <c r="G26" s="13"/>
      <c r="H26" s="12">
        <v>10</v>
      </c>
      <c r="I26" s="13">
        <v>2472</v>
      </c>
      <c r="J26" s="12"/>
      <c r="K26" s="13"/>
      <c r="L26" s="12">
        <v>7</v>
      </c>
      <c r="M26" s="13">
        <v>2145</v>
      </c>
      <c r="N26" s="12"/>
      <c r="O26" s="13"/>
      <c r="P26" s="12">
        <v>1</v>
      </c>
      <c r="Q26" s="13">
        <v>8781</v>
      </c>
      <c r="R26" s="12"/>
      <c r="S26" s="13"/>
      <c r="T26" s="12"/>
      <c r="U26" s="13"/>
      <c r="V26" s="12">
        <v>1</v>
      </c>
      <c r="W26" s="13">
        <v>109</v>
      </c>
      <c r="X26" s="12"/>
      <c r="Y26" s="13"/>
      <c r="Z26" s="12"/>
      <c r="AA26" s="13"/>
    </row>
    <row r="27" spans="1:27" x14ac:dyDescent="0.3">
      <c r="A27" s="18" t="s">
        <v>24</v>
      </c>
      <c r="B27" s="19" t="s">
        <v>98</v>
      </c>
      <c r="C27" s="19" t="s">
        <v>155</v>
      </c>
      <c r="D27" s="19" t="s">
        <v>164</v>
      </c>
      <c r="E27" s="20" t="s">
        <v>22</v>
      </c>
      <c r="F27" s="12">
        <v>1</v>
      </c>
      <c r="G27" s="13">
        <v>79</v>
      </c>
      <c r="H27" s="12"/>
      <c r="I27" s="13"/>
      <c r="J27" s="12">
        <v>1</v>
      </c>
      <c r="K27" s="13">
        <v>214</v>
      </c>
      <c r="L27" s="12"/>
      <c r="M27" s="13"/>
      <c r="N27" s="12"/>
      <c r="O27" s="13"/>
      <c r="P27" s="12"/>
      <c r="Q27" s="13"/>
      <c r="R27" s="12"/>
      <c r="S27" s="13"/>
      <c r="T27" s="12">
        <v>5</v>
      </c>
      <c r="U27" s="13">
        <v>742</v>
      </c>
      <c r="V27" s="12">
        <v>7</v>
      </c>
      <c r="W27" s="13">
        <v>850</v>
      </c>
      <c r="X27" s="12"/>
      <c r="Y27" s="13"/>
      <c r="Z27" s="12"/>
      <c r="AA27" s="13"/>
    </row>
    <row r="28" spans="1:27" x14ac:dyDescent="0.3">
      <c r="A28" s="18" t="s">
        <v>24</v>
      </c>
      <c r="B28" s="19" t="s">
        <v>98</v>
      </c>
      <c r="C28" s="19" t="s">
        <v>155</v>
      </c>
      <c r="D28" s="19" t="s">
        <v>154</v>
      </c>
      <c r="E28" s="20" t="s">
        <v>22</v>
      </c>
      <c r="F28" s="12">
        <v>3</v>
      </c>
      <c r="G28" s="13">
        <v>542</v>
      </c>
      <c r="H28" s="12"/>
      <c r="I28" s="13"/>
      <c r="J28" s="12">
        <v>2</v>
      </c>
      <c r="K28" s="13">
        <v>302</v>
      </c>
      <c r="L28" s="12"/>
      <c r="M28" s="13"/>
      <c r="N28" s="12"/>
      <c r="O28" s="13"/>
      <c r="P28" s="12"/>
      <c r="Q28" s="13"/>
      <c r="R28" s="12">
        <v>1</v>
      </c>
      <c r="S28" s="13">
        <v>397</v>
      </c>
      <c r="T28" s="12">
        <v>4</v>
      </c>
      <c r="U28" s="13">
        <v>224</v>
      </c>
      <c r="V28" s="12">
        <v>5</v>
      </c>
      <c r="W28" s="13">
        <v>750</v>
      </c>
      <c r="X28" s="12"/>
      <c r="Y28" s="13"/>
      <c r="Z28" s="12"/>
      <c r="AA28" s="13"/>
    </row>
    <row r="29" spans="1:27" x14ac:dyDescent="0.3">
      <c r="A29" s="18" t="s">
        <v>24</v>
      </c>
      <c r="B29" s="19" t="s">
        <v>98</v>
      </c>
      <c r="C29" s="19" t="s">
        <v>99</v>
      </c>
      <c r="D29" s="19" t="s">
        <v>187</v>
      </c>
      <c r="E29" s="20" t="s">
        <v>22</v>
      </c>
      <c r="F29" s="12">
        <v>3</v>
      </c>
      <c r="G29" s="13">
        <v>3229</v>
      </c>
      <c r="H29" s="12"/>
      <c r="I29" s="13"/>
      <c r="J29" s="12">
        <v>1</v>
      </c>
      <c r="K29" s="13">
        <v>604</v>
      </c>
      <c r="L29" s="12"/>
      <c r="M29" s="13"/>
      <c r="N29" s="12"/>
      <c r="O29" s="13"/>
      <c r="P29" s="12"/>
      <c r="Q29" s="13"/>
      <c r="R29" s="12">
        <v>2</v>
      </c>
      <c r="S29" s="13">
        <v>675</v>
      </c>
      <c r="T29" s="12">
        <v>1</v>
      </c>
      <c r="U29" s="13">
        <v>198</v>
      </c>
      <c r="V29" s="12"/>
      <c r="W29" s="13"/>
      <c r="X29" s="12"/>
      <c r="Y29" s="13"/>
      <c r="Z29" s="12"/>
      <c r="AA29" s="13"/>
    </row>
    <row r="30" spans="1:27" x14ac:dyDescent="0.3">
      <c r="A30" s="18" t="s">
        <v>24</v>
      </c>
      <c r="B30" s="19" t="s">
        <v>98</v>
      </c>
      <c r="C30" s="19" t="s">
        <v>99</v>
      </c>
      <c r="D30" s="19" t="s">
        <v>97</v>
      </c>
      <c r="E30" s="20" t="s">
        <v>21</v>
      </c>
      <c r="F30" s="12"/>
      <c r="G30" s="13"/>
      <c r="H30" s="12">
        <v>3</v>
      </c>
      <c r="I30" s="13">
        <v>294</v>
      </c>
      <c r="J30" s="12"/>
      <c r="K30" s="13"/>
      <c r="L30" s="12">
        <v>2</v>
      </c>
      <c r="M30" s="13">
        <v>43</v>
      </c>
      <c r="N30" s="12"/>
      <c r="O30" s="13"/>
      <c r="P30" s="12"/>
      <c r="Q30" s="13"/>
      <c r="R30" s="12">
        <v>4</v>
      </c>
      <c r="S30" s="13">
        <v>2492</v>
      </c>
      <c r="T30" s="12">
        <v>2</v>
      </c>
      <c r="U30" s="13">
        <v>95</v>
      </c>
      <c r="V30" s="12"/>
      <c r="W30" s="13"/>
      <c r="X30" s="12"/>
      <c r="Y30" s="13"/>
      <c r="Z30" s="12"/>
      <c r="AA30" s="13"/>
    </row>
    <row r="31" spans="1:27" x14ac:dyDescent="0.3">
      <c r="A31" s="18" t="s">
        <v>24</v>
      </c>
      <c r="B31" s="19" t="s">
        <v>98</v>
      </c>
      <c r="C31" s="19" t="s">
        <v>99</v>
      </c>
      <c r="D31" s="19" t="s">
        <v>162</v>
      </c>
      <c r="E31" s="20" t="s">
        <v>22</v>
      </c>
      <c r="F31" s="12">
        <v>12</v>
      </c>
      <c r="G31" s="13">
        <v>5305</v>
      </c>
      <c r="H31" s="12"/>
      <c r="I31" s="13"/>
      <c r="J31" s="12">
        <v>2</v>
      </c>
      <c r="K31" s="13">
        <v>1928</v>
      </c>
      <c r="L31" s="12">
        <v>2</v>
      </c>
      <c r="M31" s="13">
        <v>171</v>
      </c>
      <c r="N31" s="12"/>
      <c r="O31" s="13"/>
      <c r="P31" s="12"/>
      <c r="Q31" s="13"/>
      <c r="R31" s="12">
        <v>5</v>
      </c>
      <c r="S31" s="13">
        <v>249</v>
      </c>
      <c r="T31" s="12">
        <v>5</v>
      </c>
      <c r="U31" s="13">
        <v>498</v>
      </c>
      <c r="V31" s="12">
        <v>7</v>
      </c>
      <c r="W31" s="13">
        <v>747</v>
      </c>
      <c r="X31" s="12"/>
      <c r="Y31" s="13"/>
      <c r="Z31" s="12"/>
      <c r="AA31" s="13"/>
    </row>
    <row r="32" spans="1:27" x14ac:dyDescent="0.3">
      <c r="A32" s="18" t="s">
        <v>24</v>
      </c>
      <c r="B32" s="19" t="s">
        <v>29</v>
      </c>
      <c r="C32" s="19" t="s">
        <v>30</v>
      </c>
      <c r="D32" s="19" t="s">
        <v>233</v>
      </c>
      <c r="E32" s="20" t="s">
        <v>22</v>
      </c>
      <c r="F32" s="12"/>
      <c r="G32" s="13"/>
      <c r="H32" s="12">
        <v>1</v>
      </c>
      <c r="I32" s="13">
        <v>18</v>
      </c>
      <c r="J32" s="12"/>
      <c r="K32" s="13"/>
      <c r="L32" s="12"/>
      <c r="M32" s="13"/>
      <c r="N32" s="12"/>
      <c r="O32" s="13"/>
      <c r="P32" s="12"/>
      <c r="Q32" s="13"/>
      <c r="R32" s="12"/>
      <c r="S32" s="13"/>
      <c r="T32" s="12"/>
      <c r="U32" s="13"/>
      <c r="V32" s="12"/>
      <c r="W32" s="13"/>
      <c r="X32" s="12"/>
      <c r="Y32" s="13"/>
      <c r="Z32" s="12"/>
      <c r="AA32" s="13"/>
    </row>
    <row r="33" spans="1:27" x14ac:dyDescent="0.3">
      <c r="A33" s="18" t="s">
        <v>24</v>
      </c>
      <c r="B33" s="19" t="s">
        <v>29</v>
      </c>
      <c r="C33" s="19" t="s">
        <v>30</v>
      </c>
      <c r="D33" s="19" t="s">
        <v>28</v>
      </c>
      <c r="E33" s="20" t="s">
        <v>22</v>
      </c>
      <c r="F33" s="12">
        <v>2</v>
      </c>
      <c r="G33" s="13">
        <v>1046</v>
      </c>
      <c r="H33" s="12">
        <v>5</v>
      </c>
      <c r="I33" s="13">
        <v>214</v>
      </c>
      <c r="J33" s="12"/>
      <c r="K33" s="13"/>
      <c r="L33" s="12">
        <v>4</v>
      </c>
      <c r="M33" s="13">
        <v>438</v>
      </c>
      <c r="N33" s="12">
        <v>8</v>
      </c>
      <c r="O33" s="13">
        <v>11036</v>
      </c>
      <c r="P33" s="12">
        <v>6</v>
      </c>
      <c r="Q33" s="13">
        <v>60295</v>
      </c>
      <c r="R33" s="12">
        <v>7</v>
      </c>
      <c r="S33" s="13">
        <v>3354</v>
      </c>
      <c r="T33" s="12">
        <v>12</v>
      </c>
      <c r="U33" s="13">
        <v>4326</v>
      </c>
      <c r="V33" s="12">
        <v>11</v>
      </c>
      <c r="W33" s="13">
        <v>5557</v>
      </c>
      <c r="X33" s="12">
        <v>12</v>
      </c>
      <c r="Y33" s="13">
        <v>17822</v>
      </c>
      <c r="Z33" s="12">
        <v>12</v>
      </c>
      <c r="AA33" s="13">
        <v>37273</v>
      </c>
    </row>
    <row r="34" spans="1:27" x14ac:dyDescent="0.3">
      <c r="A34" s="18" t="s">
        <v>24</v>
      </c>
      <c r="B34" s="19" t="s">
        <v>225</v>
      </c>
      <c r="C34" s="19" t="s">
        <v>226</v>
      </c>
      <c r="D34" s="19" t="s">
        <v>239</v>
      </c>
      <c r="E34" s="20" t="s">
        <v>21</v>
      </c>
      <c r="F34" s="12"/>
      <c r="G34" s="13"/>
      <c r="H34" s="12"/>
      <c r="I34" s="13"/>
      <c r="J34" s="12"/>
      <c r="K34" s="13"/>
      <c r="L34" s="12">
        <v>2</v>
      </c>
      <c r="M34" s="13">
        <v>250</v>
      </c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</row>
    <row r="35" spans="1:27" x14ac:dyDescent="0.3">
      <c r="A35" s="18" t="s">
        <v>24</v>
      </c>
      <c r="B35" s="19" t="s">
        <v>25</v>
      </c>
      <c r="C35" s="19" t="s">
        <v>26</v>
      </c>
      <c r="D35" s="19" t="s">
        <v>242</v>
      </c>
      <c r="E35" s="20" t="s">
        <v>22</v>
      </c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>
        <v>1</v>
      </c>
      <c r="Y35" s="13">
        <v>47</v>
      </c>
      <c r="Z35" s="12"/>
      <c r="AA35" s="13"/>
    </row>
    <row r="36" spans="1:27" x14ac:dyDescent="0.3">
      <c r="A36" s="18" t="s">
        <v>24</v>
      </c>
      <c r="B36" s="19" t="s">
        <v>25</v>
      </c>
      <c r="C36" s="19" t="s">
        <v>26</v>
      </c>
      <c r="D36" s="19" t="s">
        <v>23</v>
      </c>
      <c r="E36" s="20" t="s">
        <v>22</v>
      </c>
      <c r="F36" s="12">
        <v>4</v>
      </c>
      <c r="G36" s="13">
        <v>2157</v>
      </c>
      <c r="H36" s="12">
        <v>11</v>
      </c>
      <c r="I36" s="13">
        <v>7420</v>
      </c>
      <c r="J36" s="12">
        <v>7</v>
      </c>
      <c r="K36" s="13">
        <v>2500</v>
      </c>
      <c r="L36" s="12">
        <v>11</v>
      </c>
      <c r="M36" s="13">
        <v>13383</v>
      </c>
      <c r="N36" s="12">
        <v>10</v>
      </c>
      <c r="O36" s="13">
        <v>52171</v>
      </c>
      <c r="P36" s="12">
        <v>12</v>
      </c>
      <c r="Q36" s="13">
        <v>54338</v>
      </c>
      <c r="R36" s="12">
        <v>12</v>
      </c>
      <c r="S36" s="13">
        <v>26860</v>
      </c>
      <c r="T36" s="12">
        <v>12</v>
      </c>
      <c r="U36" s="13">
        <v>68731</v>
      </c>
      <c r="V36" s="12">
        <v>12</v>
      </c>
      <c r="W36" s="13">
        <v>62911</v>
      </c>
      <c r="X36" s="12">
        <v>12</v>
      </c>
      <c r="Y36" s="13">
        <v>9812</v>
      </c>
      <c r="Z36" s="12">
        <v>12</v>
      </c>
      <c r="AA36" s="13">
        <v>19618</v>
      </c>
    </row>
    <row r="37" spans="1:27" x14ac:dyDescent="0.3">
      <c r="A37" s="18" t="s">
        <v>24</v>
      </c>
      <c r="B37" s="19" t="s">
        <v>25</v>
      </c>
      <c r="C37" s="19" t="s">
        <v>26</v>
      </c>
      <c r="D37" s="19" t="s">
        <v>27</v>
      </c>
      <c r="E37" s="20" t="s">
        <v>22</v>
      </c>
      <c r="F37" s="12">
        <v>10</v>
      </c>
      <c r="G37" s="13">
        <v>14822</v>
      </c>
      <c r="H37" s="12">
        <v>7</v>
      </c>
      <c r="I37" s="13">
        <v>1447</v>
      </c>
      <c r="J37" s="12">
        <v>9</v>
      </c>
      <c r="K37" s="13">
        <v>14771</v>
      </c>
      <c r="L37" s="12">
        <v>11</v>
      </c>
      <c r="M37" s="13">
        <v>4908</v>
      </c>
      <c r="N37" s="12">
        <v>10</v>
      </c>
      <c r="O37" s="13">
        <v>40920</v>
      </c>
      <c r="P37" s="12">
        <v>12</v>
      </c>
      <c r="Q37" s="13">
        <v>83986</v>
      </c>
      <c r="R37" s="12">
        <v>11</v>
      </c>
      <c r="S37" s="13">
        <v>11538</v>
      </c>
      <c r="T37" s="12">
        <v>12</v>
      </c>
      <c r="U37" s="13">
        <v>10015</v>
      </c>
      <c r="V37" s="12">
        <v>12</v>
      </c>
      <c r="W37" s="13">
        <v>14029</v>
      </c>
      <c r="X37" s="12">
        <v>9</v>
      </c>
      <c r="Y37" s="13">
        <v>2033</v>
      </c>
      <c r="Z37" s="12">
        <v>7</v>
      </c>
      <c r="AA37" s="13">
        <v>1984</v>
      </c>
    </row>
    <row r="38" spans="1:27" x14ac:dyDescent="0.3">
      <c r="A38" s="18" t="s">
        <v>24</v>
      </c>
      <c r="B38" s="19" t="s">
        <v>25</v>
      </c>
      <c r="C38" s="19" t="s">
        <v>26</v>
      </c>
      <c r="D38" s="19" t="s">
        <v>117</v>
      </c>
      <c r="E38" s="20" t="s">
        <v>22</v>
      </c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>
        <v>4</v>
      </c>
      <c r="Y38" s="13">
        <v>119</v>
      </c>
      <c r="Z38" s="12">
        <v>3</v>
      </c>
      <c r="AA38" s="13">
        <v>171</v>
      </c>
    </row>
    <row r="39" spans="1:27" x14ac:dyDescent="0.3">
      <c r="A39" s="18" t="s">
        <v>24</v>
      </c>
      <c r="B39" s="19" t="s">
        <v>25</v>
      </c>
      <c r="C39" s="19" t="s">
        <v>50</v>
      </c>
      <c r="D39" s="19" t="s">
        <v>49</v>
      </c>
      <c r="E39" s="20" t="s">
        <v>22</v>
      </c>
      <c r="F39" s="12">
        <v>4</v>
      </c>
      <c r="G39" s="13">
        <v>1522</v>
      </c>
      <c r="H39" s="12">
        <v>1</v>
      </c>
      <c r="I39" s="13">
        <v>88</v>
      </c>
      <c r="J39" s="12">
        <v>2</v>
      </c>
      <c r="K39" s="13">
        <v>543</v>
      </c>
      <c r="L39" s="12">
        <v>2</v>
      </c>
      <c r="M39" s="13">
        <v>41</v>
      </c>
      <c r="N39" s="12"/>
      <c r="O39" s="13"/>
      <c r="P39" s="12"/>
      <c r="Q39" s="13"/>
      <c r="R39" s="12">
        <v>12</v>
      </c>
      <c r="S39" s="13">
        <v>11763</v>
      </c>
      <c r="T39" s="12">
        <v>12</v>
      </c>
      <c r="U39" s="13">
        <v>54019</v>
      </c>
      <c r="V39" s="12">
        <v>12</v>
      </c>
      <c r="W39" s="13">
        <v>59971</v>
      </c>
      <c r="X39" s="12">
        <v>5</v>
      </c>
      <c r="Y39" s="13">
        <v>173</v>
      </c>
      <c r="Z39" s="12">
        <v>5</v>
      </c>
      <c r="AA39" s="13">
        <v>1218</v>
      </c>
    </row>
    <row r="40" spans="1:27" x14ac:dyDescent="0.3">
      <c r="A40" s="18" t="s">
        <v>24</v>
      </c>
      <c r="B40" s="19" t="s">
        <v>181</v>
      </c>
      <c r="C40" s="19" t="s">
        <v>182</v>
      </c>
      <c r="D40" s="19" t="s">
        <v>180</v>
      </c>
      <c r="E40" s="20" t="s">
        <v>21</v>
      </c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>
        <v>1</v>
      </c>
      <c r="Y40" s="13">
        <v>33</v>
      </c>
      <c r="Z40" s="12"/>
      <c r="AA40" s="13"/>
    </row>
    <row r="41" spans="1:27" x14ac:dyDescent="0.3">
      <c r="A41" s="18" t="s">
        <v>24</v>
      </c>
      <c r="B41" s="19" t="s">
        <v>181</v>
      </c>
      <c r="C41" s="19" t="s">
        <v>182</v>
      </c>
      <c r="D41" s="19" t="s">
        <v>241</v>
      </c>
      <c r="E41" s="20" t="s">
        <v>21</v>
      </c>
      <c r="F41" s="12"/>
      <c r="G41" s="13"/>
      <c r="H41" s="12">
        <v>3</v>
      </c>
      <c r="I41" s="13">
        <v>308</v>
      </c>
      <c r="J41" s="12"/>
      <c r="K41" s="13"/>
      <c r="L41" s="12">
        <v>1</v>
      </c>
      <c r="M41" s="13">
        <v>50</v>
      </c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</row>
    <row r="42" spans="1:27" x14ac:dyDescent="0.3">
      <c r="A42" s="18" t="s">
        <v>24</v>
      </c>
      <c r="B42" s="19" t="s">
        <v>223</v>
      </c>
      <c r="C42" s="19" t="s">
        <v>224</v>
      </c>
      <c r="D42" s="19" t="s">
        <v>222</v>
      </c>
      <c r="E42" s="20" t="s">
        <v>21</v>
      </c>
      <c r="F42" s="12"/>
      <c r="G42" s="13"/>
      <c r="H42" s="12">
        <v>4</v>
      </c>
      <c r="I42" s="13">
        <v>772</v>
      </c>
      <c r="J42" s="12"/>
      <c r="K42" s="13"/>
      <c r="L42" s="12">
        <v>4</v>
      </c>
      <c r="M42" s="13">
        <v>702</v>
      </c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</row>
    <row r="43" spans="1:27" x14ac:dyDescent="0.3">
      <c r="A43" s="18" t="s">
        <v>24</v>
      </c>
      <c r="B43" s="19" t="s">
        <v>131</v>
      </c>
      <c r="C43" s="19" t="s">
        <v>176</v>
      </c>
      <c r="D43" s="19" t="s">
        <v>175</v>
      </c>
      <c r="E43" s="20" t="s">
        <v>22</v>
      </c>
      <c r="F43" s="12"/>
      <c r="G43" s="13"/>
      <c r="H43" s="12"/>
      <c r="I43" s="13"/>
      <c r="J43" s="12"/>
      <c r="K43" s="13"/>
      <c r="L43" s="12"/>
      <c r="M43" s="13"/>
      <c r="N43" s="12"/>
      <c r="O43" s="13"/>
      <c r="P43" s="12"/>
      <c r="Q43" s="13"/>
      <c r="R43" s="12"/>
      <c r="S43" s="13"/>
      <c r="T43" s="12"/>
      <c r="U43" s="13"/>
      <c r="V43" s="12"/>
      <c r="W43" s="13"/>
      <c r="X43" s="12">
        <v>3</v>
      </c>
      <c r="Y43" s="13">
        <v>145</v>
      </c>
      <c r="Z43" s="12">
        <v>5</v>
      </c>
      <c r="AA43" s="13">
        <v>863</v>
      </c>
    </row>
    <row r="44" spans="1:27" x14ac:dyDescent="0.3">
      <c r="A44" s="18" t="s">
        <v>24</v>
      </c>
      <c r="B44" s="19" t="s">
        <v>131</v>
      </c>
      <c r="C44" s="19" t="s">
        <v>132</v>
      </c>
      <c r="D44" s="19" t="s">
        <v>130</v>
      </c>
      <c r="E44" s="20" t="s">
        <v>22</v>
      </c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>
        <v>1</v>
      </c>
      <c r="Q44" s="13">
        <v>288</v>
      </c>
      <c r="R44" s="12">
        <v>2</v>
      </c>
      <c r="S44" s="13">
        <v>215</v>
      </c>
      <c r="T44" s="12">
        <v>12</v>
      </c>
      <c r="U44" s="13">
        <v>1730</v>
      </c>
      <c r="V44" s="12">
        <v>12</v>
      </c>
      <c r="W44" s="13">
        <v>1650</v>
      </c>
      <c r="X44" s="12">
        <v>2</v>
      </c>
      <c r="Y44" s="13">
        <v>160</v>
      </c>
      <c r="Z44" s="12">
        <v>1</v>
      </c>
      <c r="AA44" s="13">
        <v>54</v>
      </c>
    </row>
    <row r="45" spans="1:27" x14ac:dyDescent="0.3">
      <c r="A45" s="18" t="s">
        <v>24</v>
      </c>
      <c r="B45" s="19" t="s">
        <v>55</v>
      </c>
      <c r="C45" s="19" t="s">
        <v>56</v>
      </c>
      <c r="D45" s="19" t="s">
        <v>230</v>
      </c>
      <c r="E45" s="20" t="s">
        <v>21</v>
      </c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>
        <v>1</v>
      </c>
      <c r="U45" s="13">
        <v>31</v>
      </c>
      <c r="V45" s="12"/>
      <c r="W45" s="13"/>
      <c r="X45" s="12"/>
      <c r="Y45" s="13"/>
      <c r="Z45" s="12"/>
      <c r="AA45" s="13"/>
    </row>
    <row r="46" spans="1:27" x14ac:dyDescent="0.3">
      <c r="A46" s="18" t="s">
        <v>24</v>
      </c>
      <c r="B46" s="19" t="s">
        <v>55</v>
      </c>
      <c r="C46" s="19" t="s">
        <v>56</v>
      </c>
      <c r="D46" s="19" t="s">
        <v>115</v>
      </c>
      <c r="E46" s="20" t="s">
        <v>21</v>
      </c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>
        <v>4</v>
      </c>
      <c r="Y46" s="13">
        <v>540</v>
      </c>
      <c r="Z46" s="12">
        <v>3</v>
      </c>
      <c r="AA46" s="13">
        <v>547</v>
      </c>
    </row>
    <row r="47" spans="1:27" x14ac:dyDescent="0.3">
      <c r="A47" s="18" t="s">
        <v>24</v>
      </c>
      <c r="B47" s="19" t="s">
        <v>55</v>
      </c>
      <c r="C47" s="19" t="s">
        <v>56</v>
      </c>
      <c r="D47" s="19" t="s">
        <v>145</v>
      </c>
      <c r="E47" s="20" t="s">
        <v>22</v>
      </c>
      <c r="F47" s="12">
        <v>2</v>
      </c>
      <c r="G47" s="13">
        <v>374</v>
      </c>
      <c r="H47" s="12">
        <v>1</v>
      </c>
      <c r="I47" s="13">
        <v>11</v>
      </c>
      <c r="J47" s="12">
        <v>1</v>
      </c>
      <c r="K47" s="13">
        <v>443</v>
      </c>
      <c r="L47" s="12"/>
      <c r="M47" s="13"/>
      <c r="N47" s="12"/>
      <c r="O47" s="13"/>
      <c r="P47" s="12"/>
      <c r="Q47" s="13"/>
      <c r="R47" s="12">
        <v>1</v>
      </c>
      <c r="S47" s="13">
        <v>20</v>
      </c>
      <c r="T47" s="12">
        <v>2</v>
      </c>
      <c r="U47" s="13">
        <v>93</v>
      </c>
      <c r="V47" s="12">
        <v>1</v>
      </c>
      <c r="W47" s="13">
        <v>26</v>
      </c>
      <c r="X47" s="12"/>
      <c r="Y47" s="13"/>
      <c r="Z47" s="12"/>
      <c r="AA47" s="13"/>
    </row>
    <row r="48" spans="1:27" x14ac:dyDescent="0.3">
      <c r="A48" s="18" t="s">
        <v>24</v>
      </c>
      <c r="B48" s="19" t="s">
        <v>55</v>
      </c>
      <c r="C48" s="19" t="s">
        <v>56</v>
      </c>
      <c r="D48" s="19" t="s">
        <v>100</v>
      </c>
      <c r="E48" s="20" t="s">
        <v>22</v>
      </c>
      <c r="F48" s="12">
        <v>2</v>
      </c>
      <c r="G48" s="13">
        <v>944</v>
      </c>
      <c r="H48" s="12">
        <v>1</v>
      </c>
      <c r="I48" s="13">
        <v>55</v>
      </c>
      <c r="J48" s="12">
        <v>2</v>
      </c>
      <c r="K48" s="13">
        <v>389</v>
      </c>
      <c r="L48" s="12">
        <v>6</v>
      </c>
      <c r="M48" s="13">
        <v>256</v>
      </c>
      <c r="N48" s="12"/>
      <c r="O48" s="13"/>
      <c r="P48" s="12"/>
      <c r="Q48" s="13"/>
      <c r="R48" s="12">
        <v>8</v>
      </c>
      <c r="S48" s="13">
        <v>906</v>
      </c>
      <c r="T48" s="12">
        <v>12</v>
      </c>
      <c r="U48" s="13">
        <v>1988</v>
      </c>
      <c r="V48" s="12">
        <v>11</v>
      </c>
      <c r="W48" s="13">
        <v>1408</v>
      </c>
      <c r="X48" s="12"/>
      <c r="Y48" s="13"/>
      <c r="Z48" s="12"/>
      <c r="AA48" s="13"/>
    </row>
    <row r="49" spans="1:27" x14ac:dyDescent="0.3">
      <c r="A49" s="18" t="s">
        <v>24</v>
      </c>
      <c r="B49" s="19" t="s">
        <v>55</v>
      </c>
      <c r="C49" s="19" t="s">
        <v>56</v>
      </c>
      <c r="D49" s="19" t="s">
        <v>101</v>
      </c>
      <c r="E49" s="20" t="s">
        <v>22</v>
      </c>
      <c r="F49" s="12">
        <v>1</v>
      </c>
      <c r="G49" s="13">
        <v>43</v>
      </c>
      <c r="H49" s="12"/>
      <c r="I49" s="13"/>
      <c r="J49" s="12">
        <v>1</v>
      </c>
      <c r="K49" s="13">
        <v>25</v>
      </c>
      <c r="L49" s="12">
        <v>5</v>
      </c>
      <c r="M49" s="13">
        <f>56+179</f>
        <v>235</v>
      </c>
      <c r="N49" s="12"/>
      <c r="O49" s="13"/>
      <c r="P49" s="12"/>
      <c r="Q49" s="13"/>
      <c r="R49" s="12">
        <v>1</v>
      </c>
      <c r="S49" s="13">
        <v>186</v>
      </c>
      <c r="T49" s="12">
        <v>4</v>
      </c>
      <c r="U49" s="13">
        <f>226+146</f>
        <v>372</v>
      </c>
      <c r="V49" s="12">
        <v>4</v>
      </c>
      <c r="W49" s="13">
        <f>145+18</f>
        <v>163</v>
      </c>
      <c r="X49" s="12"/>
      <c r="Y49" s="13"/>
      <c r="Z49" s="12"/>
      <c r="AA49" s="13"/>
    </row>
    <row r="50" spans="1:27" x14ac:dyDescent="0.3">
      <c r="A50" s="18" t="s">
        <v>24</v>
      </c>
      <c r="B50" s="19" t="s">
        <v>55</v>
      </c>
      <c r="C50" s="19" t="s">
        <v>56</v>
      </c>
      <c r="D50" s="19" t="s">
        <v>170</v>
      </c>
      <c r="E50" s="20" t="s">
        <v>22</v>
      </c>
      <c r="F50" s="12"/>
      <c r="G50" s="13"/>
      <c r="H50" s="12"/>
      <c r="I50" s="13"/>
      <c r="J50" s="12"/>
      <c r="K50" s="13"/>
      <c r="L50" s="12">
        <v>1</v>
      </c>
      <c r="M50" s="13">
        <v>90</v>
      </c>
      <c r="N50" s="12"/>
      <c r="O50" s="13"/>
      <c r="P50" s="12"/>
      <c r="Q50" s="13"/>
      <c r="R50" s="12"/>
      <c r="S50" s="13"/>
      <c r="T50" s="12">
        <v>3</v>
      </c>
      <c r="U50" s="13">
        <v>733</v>
      </c>
      <c r="V50" s="12">
        <v>4</v>
      </c>
      <c r="W50" s="13">
        <v>1537</v>
      </c>
      <c r="X50" s="12"/>
      <c r="Y50" s="13"/>
      <c r="Z50" s="12"/>
      <c r="AA50" s="13"/>
    </row>
    <row r="51" spans="1:27" x14ac:dyDescent="0.3">
      <c r="A51" s="18" t="s">
        <v>24</v>
      </c>
      <c r="B51" s="19" t="s">
        <v>55</v>
      </c>
      <c r="C51" s="19" t="s">
        <v>56</v>
      </c>
      <c r="D51" s="19" t="s">
        <v>214</v>
      </c>
      <c r="E51" s="20" t="s">
        <v>22</v>
      </c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>
        <v>2</v>
      </c>
      <c r="U51" s="13">
        <v>67</v>
      </c>
      <c r="V51" s="12"/>
      <c r="W51" s="13"/>
      <c r="X51" s="12"/>
      <c r="Y51" s="13"/>
      <c r="Z51" s="12"/>
      <c r="AA51" s="13"/>
    </row>
    <row r="52" spans="1:27" x14ac:dyDescent="0.3">
      <c r="A52" s="18" t="s">
        <v>24</v>
      </c>
      <c r="B52" s="19" t="s">
        <v>55</v>
      </c>
      <c r="C52" s="19" t="s">
        <v>56</v>
      </c>
      <c r="D52" s="19" t="s">
        <v>94</v>
      </c>
      <c r="E52" s="20" t="s">
        <v>22</v>
      </c>
      <c r="F52" s="12">
        <v>1</v>
      </c>
      <c r="G52" s="13">
        <v>514</v>
      </c>
      <c r="H52" s="12">
        <v>11</v>
      </c>
      <c r="I52" s="13">
        <v>13639</v>
      </c>
      <c r="J52" s="12">
        <v>2</v>
      </c>
      <c r="K52" s="13">
        <v>1187</v>
      </c>
      <c r="L52" s="12">
        <v>10</v>
      </c>
      <c r="M52" s="13">
        <v>13949</v>
      </c>
      <c r="N52" s="12"/>
      <c r="O52" s="13"/>
      <c r="P52" s="12"/>
      <c r="Q52" s="13"/>
      <c r="R52" s="12">
        <v>6</v>
      </c>
      <c r="S52" s="13">
        <v>1824</v>
      </c>
      <c r="T52" s="12">
        <v>12</v>
      </c>
      <c r="U52" s="13">
        <v>3945</v>
      </c>
      <c r="V52" s="12">
        <v>8</v>
      </c>
      <c r="W52" s="13">
        <v>4315</v>
      </c>
      <c r="X52" s="12">
        <v>2</v>
      </c>
      <c r="Y52" s="13">
        <v>475</v>
      </c>
      <c r="Z52" s="12">
        <v>1</v>
      </c>
      <c r="AA52" s="13">
        <v>115</v>
      </c>
    </row>
    <row r="53" spans="1:27" x14ac:dyDescent="0.3">
      <c r="A53" s="18" t="s">
        <v>24</v>
      </c>
      <c r="B53" s="19" t="s">
        <v>55</v>
      </c>
      <c r="C53" s="19" t="s">
        <v>56</v>
      </c>
      <c r="D53" s="19" t="s">
        <v>231</v>
      </c>
      <c r="E53" s="20" t="s">
        <v>22</v>
      </c>
      <c r="F53" s="12">
        <v>1</v>
      </c>
      <c r="G53" s="13">
        <v>114</v>
      </c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</row>
    <row r="54" spans="1:27" x14ac:dyDescent="0.3">
      <c r="A54" s="18" t="s">
        <v>24</v>
      </c>
      <c r="B54" s="19" t="s">
        <v>55</v>
      </c>
      <c r="C54" s="19" t="s">
        <v>56</v>
      </c>
      <c r="D54" s="19" t="s">
        <v>244</v>
      </c>
      <c r="E54" s="20" t="s">
        <v>22</v>
      </c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>
        <v>2</v>
      </c>
      <c r="S54" s="13">
        <v>71</v>
      </c>
      <c r="T54" s="12"/>
      <c r="U54" s="13"/>
      <c r="V54" s="12"/>
      <c r="W54" s="13"/>
      <c r="X54" s="12"/>
      <c r="Y54" s="13"/>
      <c r="Z54" s="12"/>
      <c r="AA54" s="13"/>
    </row>
    <row r="55" spans="1:27" x14ac:dyDescent="0.3">
      <c r="A55" s="18" t="s">
        <v>24</v>
      </c>
      <c r="B55" s="19" t="s">
        <v>55</v>
      </c>
      <c r="C55" s="19" t="s">
        <v>56</v>
      </c>
      <c r="D55" s="19" t="s">
        <v>146</v>
      </c>
      <c r="E55" s="20" t="s">
        <v>21</v>
      </c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>
        <v>1</v>
      </c>
      <c r="Q55" s="13">
        <v>576</v>
      </c>
      <c r="R55" s="12">
        <v>7</v>
      </c>
      <c r="S55" s="13">
        <v>300</v>
      </c>
      <c r="T55" s="12">
        <v>5</v>
      </c>
      <c r="U55" s="13">
        <v>599</v>
      </c>
      <c r="V55" s="12">
        <v>8</v>
      </c>
      <c r="W55" s="13">
        <v>675</v>
      </c>
      <c r="X55" s="12"/>
      <c r="Y55" s="13"/>
      <c r="Z55" s="12"/>
      <c r="AA55" s="13"/>
    </row>
    <row r="56" spans="1:27" x14ac:dyDescent="0.3">
      <c r="A56" s="18" t="s">
        <v>24</v>
      </c>
      <c r="B56" s="19" t="s">
        <v>55</v>
      </c>
      <c r="C56" s="19" t="s">
        <v>56</v>
      </c>
      <c r="D56" s="19" t="s">
        <v>116</v>
      </c>
      <c r="E56" s="20" t="s">
        <v>22</v>
      </c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>
        <v>6</v>
      </c>
      <c r="Y56" s="13">
        <v>1028</v>
      </c>
      <c r="Z56" s="12">
        <v>2</v>
      </c>
      <c r="AA56" s="13">
        <v>690</v>
      </c>
    </row>
    <row r="57" spans="1:27" x14ac:dyDescent="0.3">
      <c r="A57" s="18" t="s">
        <v>24</v>
      </c>
      <c r="B57" s="19" t="s">
        <v>55</v>
      </c>
      <c r="C57" s="19" t="s">
        <v>56</v>
      </c>
      <c r="D57" s="19" t="s">
        <v>54</v>
      </c>
      <c r="E57" s="20" t="s">
        <v>21</v>
      </c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>
        <v>11</v>
      </c>
      <c r="Y57" s="13">
        <v>2363</v>
      </c>
      <c r="Z57" s="12">
        <v>12</v>
      </c>
      <c r="AA57" s="13">
        <v>6862</v>
      </c>
    </row>
    <row r="58" spans="1:27" x14ac:dyDescent="0.3">
      <c r="A58" s="18" t="s">
        <v>24</v>
      </c>
      <c r="B58" s="19" t="s">
        <v>55</v>
      </c>
      <c r="C58" s="19" t="s">
        <v>56</v>
      </c>
      <c r="D58" s="19" t="s">
        <v>171</v>
      </c>
      <c r="E58" s="20" t="s">
        <v>21</v>
      </c>
      <c r="F58" s="12">
        <v>1</v>
      </c>
      <c r="G58" s="13">
        <v>120</v>
      </c>
      <c r="H58" s="12"/>
      <c r="I58" s="13"/>
      <c r="J58" s="12">
        <v>5</v>
      </c>
      <c r="K58" s="13">
        <v>304</v>
      </c>
      <c r="L58" s="12">
        <v>2</v>
      </c>
      <c r="M58" s="13">
        <v>56</v>
      </c>
      <c r="N58" s="12"/>
      <c r="O58" s="13"/>
      <c r="P58" s="12"/>
      <c r="Q58" s="13"/>
      <c r="R58" s="12">
        <v>2</v>
      </c>
      <c r="S58" s="13">
        <v>176</v>
      </c>
      <c r="T58" s="12">
        <v>5</v>
      </c>
      <c r="U58" s="13">
        <v>354</v>
      </c>
      <c r="V58" s="12">
        <v>4</v>
      </c>
      <c r="W58" s="13">
        <v>200</v>
      </c>
      <c r="X58" s="12"/>
      <c r="Y58" s="13"/>
      <c r="Z58" s="12"/>
      <c r="AA58" s="13"/>
    </row>
    <row r="59" spans="1:27" x14ac:dyDescent="0.3">
      <c r="A59" s="18" t="s">
        <v>24</v>
      </c>
      <c r="B59" s="19" t="s">
        <v>55</v>
      </c>
      <c r="C59" s="19" t="s">
        <v>56</v>
      </c>
      <c r="D59" s="19" t="s">
        <v>198</v>
      </c>
      <c r="E59" s="20" t="s">
        <v>21</v>
      </c>
      <c r="F59" s="12"/>
      <c r="G59" s="13"/>
      <c r="H59" s="12"/>
      <c r="I59" s="13"/>
      <c r="J59" s="12"/>
      <c r="K59" s="13"/>
      <c r="L59" s="12"/>
      <c r="M59" s="13"/>
      <c r="N59" s="12"/>
      <c r="O59" s="13"/>
      <c r="P59" s="12"/>
      <c r="Q59" s="13"/>
      <c r="R59" s="12">
        <v>1</v>
      </c>
      <c r="S59" s="13">
        <v>89</v>
      </c>
      <c r="T59" s="12">
        <v>1</v>
      </c>
      <c r="U59" s="13">
        <v>14</v>
      </c>
      <c r="V59" s="12"/>
      <c r="W59" s="13"/>
      <c r="X59" s="12"/>
      <c r="Y59" s="13"/>
      <c r="Z59" s="12"/>
      <c r="AA59" s="13"/>
    </row>
    <row r="60" spans="1:27" x14ac:dyDescent="0.3">
      <c r="A60" s="18" t="s">
        <v>24</v>
      </c>
      <c r="B60" s="19" t="s">
        <v>55</v>
      </c>
      <c r="C60" s="19" t="s">
        <v>56</v>
      </c>
      <c r="D60" s="19" t="s">
        <v>227</v>
      </c>
      <c r="E60" s="20" t="s">
        <v>22</v>
      </c>
      <c r="F60" s="12"/>
      <c r="G60" s="13"/>
      <c r="H60" s="12"/>
      <c r="I60" s="13"/>
      <c r="J60" s="12"/>
      <c r="K60" s="13"/>
      <c r="L60" s="12">
        <v>2</v>
      </c>
      <c r="M60" s="13">
        <v>269</v>
      </c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</row>
    <row r="61" spans="1:27" x14ac:dyDescent="0.3">
      <c r="A61" s="18" t="s">
        <v>24</v>
      </c>
      <c r="B61" s="19" t="s">
        <v>55</v>
      </c>
      <c r="C61" s="19" t="s">
        <v>56</v>
      </c>
      <c r="D61" s="19" t="s">
        <v>193</v>
      </c>
      <c r="E61" s="20" t="s">
        <v>21</v>
      </c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>
        <v>1</v>
      </c>
      <c r="U61" s="13">
        <v>76</v>
      </c>
      <c r="V61" s="12">
        <v>1</v>
      </c>
      <c r="W61" s="13">
        <v>36</v>
      </c>
      <c r="X61" s="12"/>
      <c r="Y61" s="13"/>
      <c r="Z61" s="12"/>
      <c r="AA61" s="13"/>
    </row>
    <row r="62" spans="1:27" x14ac:dyDescent="0.3">
      <c r="A62" s="18" t="s">
        <v>24</v>
      </c>
      <c r="B62" s="19" t="s">
        <v>55</v>
      </c>
      <c r="C62" s="19" t="s">
        <v>56</v>
      </c>
      <c r="D62" s="19" t="s">
        <v>203</v>
      </c>
      <c r="E62" s="20" t="s">
        <v>21</v>
      </c>
      <c r="F62" s="12">
        <v>1</v>
      </c>
      <c r="G62" s="13">
        <v>980</v>
      </c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>
        <v>1</v>
      </c>
      <c r="S62" s="13">
        <v>53</v>
      </c>
      <c r="T62" s="12">
        <v>1</v>
      </c>
      <c r="U62" s="13">
        <v>55</v>
      </c>
      <c r="V62" s="12"/>
      <c r="W62" s="13"/>
      <c r="X62" s="12"/>
      <c r="Y62" s="13"/>
      <c r="Z62" s="12"/>
      <c r="AA62" s="13"/>
    </row>
    <row r="63" spans="1:27" x14ac:dyDescent="0.3">
      <c r="A63" s="18" t="s">
        <v>24</v>
      </c>
      <c r="B63" s="19" t="s">
        <v>140</v>
      </c>
      <c r="C63" s="19" t="s">
        <v>141</v>
      </c>
      <c r="D63" s="19" t="s">
        <v>139</v>
      </c>
      <c r="E63" s="20" t="s">
        <v>22</v>
      </c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>
        <v>10</v>
      </c>
      <c r="S63" s="13">
        <v>6683</v>
      </c>
      <c r="T63" s="12">
        <v>10</v>
      </c>
      <c r="U63" s="13">
        <v>1405</v>
      </c>
      <c r="V63" s="12">
        <v>12</v>
      </c>
      <c r="W63" s="13">
        <v>3063</v>
      </c>
      <c r="X63" s="12"/>
      <c r="Y63" s="13"/>
      <c r="Z63" s="12"/>
      <c r="AA63" s="13"/>
    </row>
    <row r="64" spans="1:27" x14ac:dyDescent="0.3">
      <c r="A64" s="18" t="s">
        <v>24</v>
      </c>
      <c r="B64" s="19" t="s">
        <v>206</v>
      </c>
      <c r="C64" s="19" t="s">
        <v>207</v>
      </c>
      <c r="D64" s="19" t="s">
        <v>205</v>
      </c>
      <c r="E64" s="20" t="s">
        <v>22</v>
      </c>
      <c r="F64" s="12"/>
      <c r="G64" s="13"/>
      <c r="H64" s="12">
        <v>1</v>
      </c>
      <c r="I64" s="13">
        <v>210</v>
      </c>
      <c r="J64" s="12"/>
      <c r="K64" s="13"/>
      <c r="L64" s="12"/>
      <c r="M64" s="13"/>
      <c r="N64" s="12"/>
      <c r="O64" s="13"/>
      <c r="P64" s="12"/>
      <c r="Q64" s="13"/>
      <c r="R64" s="12">
        <v>1</v>
      </c>
      <c r="S64" s="13">
        <v>480</v>
      </c>
      <c r="T64" s="12">
        <v>6</v>
      </c>
      <c r="U64" s="13">
        <v>1306</v>
      </c>
      <c r="V64" s="12"/>
      <c r="W64" s="13"/>
      <c r="X64" s="12"/>
      <c r="Y64" s="13"/>
      <c r="Z64" s="12"/>
      <c r="AA64" s="13"/>
    </row>
    <row r="65" spans="1:27" x14ac:dyDescent="0.3">
      <c r="A65" s="18" t="s">
        <v>24</v>
      </c>
      <c r="B65" s="19" t="s">
        <v>85</v>
      </c>
      <c r="C65" s="19" t="s">
        <v>86</v>
      </c>
      <c r="D65" s="19" t="s">
        <v>147</v>
      </c>
      <c r="E65" s="20" t="s">
        <v>22</v>
      </c>
      <c r="F65" s="12">
        <v>10</v>
      </c>
      <c r="G65" s="13">
        <v>4894</v>
      </c>
      <c r="H65" s="12">
        <v>2</v>
      </c>
      <c r="I65" s="13">
        <v>99</v>
      </c>
      <c r="J65" s="12">
        <v>7</v>
      </c>
      <c r="K65" s="13">
        <v>10765</v>
      </c>
      <c r="L65" s="12"/>
      <c r="M65" s="13"/>
      <c r="N65" s="12"/>
      <c r="O65" s="13"/>
      <c r="P65" s="12">
        <v>1</v>
      </c>
      <c r="Q65" s="13">
        <v>2629</v>
      </c>
      <c r="R65" s="12">
        <v>10</v>
      </c>
      <c r="S65" s="13">
        <v>6895</v>
      </c>
      <c r="T65" s="12">
        <v>12</v>
      </c>
      <c r="U65" s="13">
        <v>5487</v>
      </c>
      <c r="V65" s="12">
        <v>12</v>
      </c>
      <c r="W65" s="13">
        <v>6390</v>
      </c>
      <c r="X65" s="12"/>
      <c r="Y65" s="13"/>
      <c r="Z65" s="12"/>
      <c r="AA65" s="13"/>
    </row>
    <row r="66" spans="1:27" x14ac:dyDescent="0.3">
      <c r="A66" s="18" t="s">
        <v>24</v>
      </c>
      <c r="B66" s="19" t="s">
        <v>85</v>
      </c>
      <c r="C66" s="19" t="s">
        <v>86</v>
      </c>
      <c r="D66" s="19" t="s">
        <v>204</v>
      </c>
      <c r="E66" s="20" t="s">
        <v>21</v>
      </c>
      <c r="F66" s="12">
        <v>2</v>
      </c>
      <c r="G66" s="13">
        <v>73</v>
      </c>
      <c r="H66" s="12">
        <v>1</v>
      </c>
      <c r="I66" s="13">
        <v>169</v>
      </c>
      <c r="J66" s="12">
        <v>2</v>
      </c>
      <c r="K66" s="13">
        <v>980</v>
      </c>
      <c r="L66" s="12"/>
      <c r="M66" s="13"/>
      <c r="N66" s="12"/>
      <c r="O66" s="13"/>
      <c r="P66" s="12"/>
      <c r="Q66" s="13"/>
      <c r="R66" s="12">
        <v>1</v>
      </c>
      <c r="S66" s="13">
        <v>11</v>
      </c>
      <c r="T66" s="12"/>
      <c r="U66" s="13"/>
      <c r="V66" s="12"/>
      <c r="W66" s="13"/>
      <c r="X66" s="12"/>
      <c r="Y66" s="13"/>
      <c r="Z66" s="12"/>
      <c r="AA66" s="13"/>
    </row>
    <row r="67" spans="1:27" x14ac:dyDescent="0.3">
      <c r="A67" s="18" t="s">
        <v>24</v>
      </c>
      <c r="B67" s="19" t="s">
        <v>85</v>
      </c>
      <c r="C67" s="19" t="s">
        <v>86</v>
      </c>
      <c r="D67" s="19" t="s">
        <v>87</v>
      </c>
      <c r="E67" s="20" t="s">
        <v>22</v>
      </c>
      <c r="F67" s="12">
        <v>8</v>
      </c>
      <c r="G67" s="13">
        <v>5947</v>
      </c>
      <c r="H67" s="12">
        <v>11</v>
      </c>
      <c r="I67" s="13">
        <v>3471</v>
      </c>
      <c r="J67" s="12">
        <v>9</v>
      </c>
      <c r="K67" s="13">
        <v>8384</v>
      </c>
      <c r="L67" s="12">
        <v>11</v>
      </c>
      <c r="M67" s="13">
        <v>6938</v>
      </c>
      <c r="N67" s="12"/>
      <c r="O67" s="13"/>
      <c r="P67" s="12"/>
      <c r="Q67" s="13"/>
      <c r="R67" s="12">
        <v>7</v>
      </c>
      <c r="S67" s="13">
        <v>1838</v>
      </c>
      <c r="T67" s="12">
        <v>12</v>
      </c>
      <c r="U67" s="13">
        <v>3868</v>
      </c>
      <c r="V67" s="12">
        <v>11</v>
      </c>
      <c r="W67" s="13">
        <v>4852</v>
      </c>
      <c r="X67" s="12"/>
      <c r="Y67" s="13"/>
      <c r="Z67" s="12"/>
      <c r="AA67" s="13"/>
    </row>
    <row r="68" spans="1:27" x14ac:dyDescent="0.3">
      <c r="A68" s="18" t="s">
        <v>24</v>
      </c>
      <c r="B68" s="19" t="s">
        <v>85</v>
      </c>
      <c r="C68" s="19" t="s">
        <v>86</v>
      </c>
      <c r="D68" s="19" t="s">
        <v>228</v>
      </c>
      <c r="E68" s="20" t="s">
        <v>22</v>
      </c>
      <c r="F68" s="12">
        <v>1</v>
      </c>
      <c r="G68" s="13">
        <v>1139</v>
      </c>
      <c r="H68" s="12">
        <v>1</v>
      </c>
      <c r="I68" s="13">
        <v>26</v>
      </c>
      <c r="J68" s="12">
        <v>1</v>
      </c>
      <c r="K68" s="13">
        <v>366</v>
      </c>
      <c r="L68" s="12"/>
      <c r="M68" s="13"/>
      <c r="N68" s="12"/>
      <c r="O68" s="13"/>
      <c r="P68" s="12"/>
      <c r="Q68" s="13"/>
      <c r="R68" s="12">
        <v>1</v>
      </c>
      <c r="S68" s="13">
        <v>55</v>
      </c>
      <c r="T68" s="12">
        <v>1</v>
      </c>
      <c r="U68" s="13">
        <v>58</v>
      </c>
      <c r="V68" s="12"/>
      <c r="W68" s="13"/>
      <c r="X68" s="12"/>
      <c r="Y68" s="13"/>
      <c r="Z68" s="12"/>
      <c r="AA68" s="13"/>
    </row>
    <row r="69" spans="1:27" x14ac:dyDescent="0.3">
      <c r="A69" s="18" t="s">
        <v>24</v>
      </c>
      <c r="B69" s="19" t="s">
        <v>85</v>
      </c>
      <c r="C69" s="19" t="s">
        <v>86</v>
      </c>
      <c r="D69" s="19" t="s">
        <v>186</v>
      </c>
      <c r="E69" s="20" t="s">
        <v>22</v>
      </c>
      <c r="F69" s="12">
        <v>2</v>
      </c>
      <c r="G69" s="13">
        <v>986</v>
      </c>
      <c r="H69" s="12">
        <v>1</v>
      </c>
      <c r="I69" s="13">
        <v>56</v>
      </c>
      <c r="J69" s="12">
        <v>2</v>
      </c>
      <c r="K69" s="13">
        <v>864</v>
      </c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</row>
    <row r="70" spans="1:27" x14ac:dyDescent="0.3">
      <c r="A70" s="18" t="s">
        <v>24</v>
      </c>
      <c r="B70" s="19" t="s">
        <v>85</v>
      </c>
      <c r="C70" s="19" t="s">
        <v>86</v>
      </c>
      <c r="D70" s="19" t="s">
        <v>238</v>
      </c>
      <c r="E70" s="20" t="s">
        <v>22</v>
      </c>
      <c r="F70" s="12">
        <v>8</v>
      </c>
      <c r="G70" s="13">
        <v>11536</v>
      </c>
      <c r="H70" s="12">
        <v>3</v>
      </c>
      <c r="I70" s="13">
        <v>327</v>
      </c>
      <c r="J70" s="12">
        <v>2</v>
      </c>
      <c r="K70" s="13">
        <v>1214</v>
      </c>
      <c r="L70" s="12">
        <v>2</v>
      </c>
      <c r="M70" s="13">
        <v>353</v>
      </c>
      <c r="N70" s="12"/>
      <c r="O70" s="13"/>
      <c r="P70" s="12"/>
      <c r="Q70" s="13"/>
      <c r="R70" s="12">
        <v>1</v>
      </c>
      <c r="S70" s="13">
        <v>46</v>
      </c>
      <c r="T70" s="12"/>
      <c r="U70" s="13"/>
      <c r="V70" s="12">
        <v>1</v>
      </c>
      <c r="W70" s="13">
        <v>108</v>
      </c>
      <c r="X70" s="12"/>
      <c r="Y70" s="13"/>
      <c r="Z70" s="12"/>
      <c r="AA70" s="13"/>
    </row>
    <row r="71" spans="1:27" x14ac:dyDescent="0.3">
      <c r="A71" s="18" t="s">
        <v>24</v>
      </c>
      <c r="B71" s="19" t="s">
        <v>85</v>
      </c>
      <c r="C71" s="19" t="s">
        <v>86</v>
      </c>
      <c r="D71" s="19" t="s">
        <v>84</v>
      </c>
      <c r="E71" s="20" t="s">
        <v>22</v>
      </c>
      <c r="F71" s="12">
        <v>9</v>
      </c>
      <c r="G71" s="13">
        <v>14679</v>
      </c>
      <c r="H71" s="12">
        <v>10</v>
      </c>
      <c r="I71" s="13">
        <v>981</v>
      </c>
      <c r="J71" s="12">
        <v>10</v>
      </c>
      <c r="K71" s="13">
        <v>20795</v>
      </c>
      <c r="L71" s="12">
        <v>10</v>
      </c>
      <c r="M71" s="13">
        <v>2310</v>
      </c>
      <c r="N71" s="12"/>
      <c r="O71" s="13"/>
      <c r="P71" s="12"/>
      <c r="Q71" s="13"/>
      <c r="R71" s="12">
        <v>12</v>
      </c>
      <c r="S71" s="13">
        <v>14657</v>
      </c>
      <c r="T71" s="12">
        <v>12</v>
      </c>
      <c r="U71" s="13">
        <v>18730</v>
      </c>
      <c r="V71" s="12">
        <v>12</v>
      </c>
      <c r="W71" s="13">
        <v>20695</v>
      </c>
      <c r="X71" s="12"/>
      <c r="Y71" s="13"/>
      <c r="Z71" s="12"/>
      <c r="AA71" s="13"/>
    </row>
    <row r="72" spans="1:27" x14ac:dyDescent="0.3">
      <c r="A72" s="18" t="s">
        <v>24</v>
      </c>
      <c r="B72" s="19" t="s">
        <v>85</v>
      </c>
      <c r="C72" s="19" t="s">
        <v>86</v>
      </c>
      <c r="D72" s="19" t="s">
        <v>188</v>
      </c>
      <c r="E72" s="20" t="s">
        <v>22</v>
      </c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>
        <v>1</v>
      </c>
      <c r="S72" s="13">
        <v>712</v>
      </c>
      <c r="T72" s="12">
        <v>1</v>
      </c>
      <c r="U72" s="13">
        <v>77</v>
      </c>
      <c r="V72" s="12">
        <v>3</v>
      </c>
      <c r="W72" s="13">
        <v>642</v>
      </c>
      <c r="X72" s="12"/>
      <c r="Y72" s="13"/>
      <c r="Z72" s="12"/>
      <c r="AA72" s="13"/>
    </row>
    <row r="73" spans="1:27" x14ac:dyDescent="0.3">
      <c r="A73" s="18" t="s">
        <v>24</v>
      </c>
      <c r="B73" s="19" t="s">
        <v>127</v>
      </c>
      <c r="C73" s="19" t="s">
        <v>128</v>
      </c>
      <c r="D73" s="19" t="s">
        <v>126</v>
      </c>
      <c r="E73" s="20" t="s">
        <v>22</v>
      </c>
      <c r="F73" s="12"/>
      <c r="G73" s="13"/>
      <c r="H73" s="12"/>
      <c r="I73" s="13"/>
      <c r="J73" s="12"/>
      <c r="K73" s="13"/>
      <c r="L73" s="12"/>
      <c r="M73" s="13"/>
      <c r="N73" s="12"/>
      <c r="O73" s="13"/>
      <c r="P73" s="12"/>
      <c r="Q73" s="13"/>
      <c r="R73" s="12">
        <v>12</v>
      </c>
      <c r="S73" s="13">
        <v>20508</v>
      </c>
      <c r="T73" s="12">
        <v>12</v>
      </c>
      <c r="U73" s="13">
        <v>29461</v>
      </c>
      <c r="V73" s="12">
        <v>12</v>
      </c>
      <c r="W73" s="13">
        <v>28269</v>
      </c>
      <c r="X73" s="12">
        <v>1</v>
      </c>
      <c r="Y73" s="13">
        <v>130</v>
      </c>
      <c r="Z73" s="12"/>
      <c r="AA73" s="13"/>
    </row>
    <row r="74" spans="1:27" x14ac:dyDescent="0.3">
      <c r="A74" s="18" t="s">
        <v>24</v>
      </c>
      <c r="B74" s="19" t="s">
        <v>127</v>
      </c>
      <c r="C74" s="19" t="s">
        <v>128</v>
      </c>
      <c r="D74" s="19" t="s">
        <v>129</v>
      </c>
      <c r="E74" s="20" t="s">
        <v>22</v>
      </c>
      <c r="F74" s="12"/>
      <c r="G74" s="13"/>
      <c r="H74" s="12"/>
      <c r="I74" s="13"/>
      <c r="J74" s="12"/>
      <c r="K74" s="13"/>
      <c r="L74" s="12"/>
      <c r="M74" s="13"/>
      <c r="N74" s="12"/>
      <c r="O74" s="13"/>
      <c r="P74" s="12"/>
      <c r="Q74" s="13"/>
      <c r="R74" s="12">
        <v>4</v>
      </c>
      <c r="S74" s="13">
        <v>600</v>
      </c>
      <c r="T74" s="12">
        <v>11</v>
      </c>
      <c r="U74" s="13">
        <v>4362</v>
      </c>
      <c r="V74" s="12">
        <v>9</v>
      </c>
      <c r="W74" s="13">
        <v>5976</v>
      </c>
      <c r="X74" s="12"/>
      <c r="Y74" s="13"/>
      <c r="Z74" s="12"/>
      <c r="AA74" s="13"/>
    </row>
    <row r="75" spans="1:27" x14ac:dyDescent="0.3">
      <c r="A75" s="18" t="s">
        <v>24</v>
      </c>
      <c r="B75" s="19" t="s">
        <v>77</v>
      </c>
      <c r="C75" s="19" t="s">
        <v>78</v>
      </c>
      <c r="D75" s="19" t="s">
        <v>76</v>
      </c>
      <c r="E75" s="20" t="s">
        <v>22</v>
      </c>
      <c r="F75" s="12">
        <v>11</v>
      </c>
      <c r="G75" s="13">
        <v>16141</v>
      </c>
      <c r="H75" s="12">
        <v>11</v>
      </c>
      <c r="I75" s="13">
        <v>65232</v>
      </c>
      <c r="J75" s="12">
        <v>9</v>
      </c>
      <c r="K75" s="13">
        <v>16548</v>
      </c>
      <c r="L75" s="12">
        <v>11</v>
      </c>
      <c r="M75" s="13">
        <v>125712</v>
      </c>
      <c r="N75" s="12">
        <v>9</v>
      </c>
      <c r="O75" s="13">
        <v>78702</v>
      </c>
      <c r="P75" s="12">
        <v>10</v>
      </c>
      <c r="Q75" s="13">
        <v>32461</v>
      </c>
      <c r="R75" s="12">
        <v>10</v>
      </c>
      <c r="S75" s="13">
        <v>2522</v>
      </c>
      <c r="T75" s="12">
        <v>12</v>
      </c>
      <c r="U75" s="13">
        <v>3837</v>
      </c>
      <c r="V75" s="12">
        <v>11</v>
      </c>
      <c r="W75" s="13">
        <v>5898</v>
      </c>
      <c r="X75" s="12"/>
      <c r="Y75" s="13"/>
      <c r="Z75" s="12"/>
      <c r="AA75" s="13"/>
    </row>
    <row r="76" spans="1:27" x14ac:dyDescent="0.3">
      <c r="A76" s="18" t="s">
        <v>24</v>
      </c>
      <c r="B76" s="19" t="s">
        <v>77</v>
      </c>
      <c r="C76" s="19" t="s">
        <v>78</v>
      </c>
      <c r="D76" s="19" t="s">
        <v>88</v>
      </c>
      <c r="E76" s="20" t="s">
        <v>22</v>
      </c>
      <c r="F76" s="12">
        <v>4</v>
      </c>
      <c r="G76" s="13">
        <v>255</v>
      </c>
      <c r="H76" s="12">
        <v>11</v>
      </c>
      <c r="I76" s="13">
        <v>3923</v>
      </c>
      <c r="J76" s="12">
        <v>3</v>
      </c>
      <c r="K76" s="13">
        <v>291</v>
      </c>
      <c r="L76" s="12">
        <v>11</v>
      </c>
      <c r="M76" s="13">
        <v>9468</v>
      </c>
      <c r="N76" s="12"/>
      <c r="O76" s="13"/>
      <c r="P76" s="12"/>
      <c r="Q76" s="13"/>
      <c r="R76" s="12">
        <v>11</v>
      </c>
      <c r="S76" s="13">
        <v>1680</v>
      </c>
      <c r="T76" s="12">
        <v>12</v>
      </c>
      <c r="U76" s="13">
        <v>3848</v>
      </c>
      <c r="V76" s="12">
        <v>12</v>
      </c>
      <c r="W76" s="13">
        <v>3560</v>
      </c>
      <c r="X76" s="12"/>
      <c r="Y76" s="13"/>
      <c r="Z76" s="12"/>
      <c r="AA76" s="13"/>
    </row>
    <row r="77" spans="1:27" x14ac:dyDescent="0.3">
      <c r="A77" s="18" t="s">
        <v>24</v>
      </c>
      <c r="B77" s="19" t="s">
        <v>77</v>
      </c>
      <c r="C77" s="19" t="s">
        <v>78</v>
      </c>
      <c r="D77" s="19" t="s">
        <v>93</v>
      </c>
      <c r="E77" s="20" t="s">
        <v>22</v>
      </c>
      <c r="F77" s="12"/>
      <c r="G77" s="13"/>
      <c r="H77" s="12">
        <v>11</v>
      </c>
      <c r="I77" s="13">
        <v>11640</v>
      </c>
      <c r="J77" s="12"/>
      <c r="K77" s="13"/>
      <c r="L77" s="12">
        <v>11</v>
      </c>
      <c r="M77" s="13">
        <v>21497</v>
      </c>
      <c r="N77" s="12"/>
      <c r="O77" s="13"/>
      <c r="P77" s="12"/>
      <c r="Q77" s="13"/>
      <c r="R77" s="12"/>
      <c r="S77" s="13"/>
      <c r="T77" s="12">
        <v>1</v>
      </c>
      <c r="U77" s="13">
        <v>286</v>
      </c>
      <c r="V77" s="12"/>
      <c r="W77" s="13"/>
      <c r="X77" s="12"/>
      <c r="Y77" s="13"/>
      <c r="Z77" s="12"/>
      <c r="AA77" s="13"/>
    </row>
    <row r="78" spans="1:27" x14ac:dyDescent="0.3">
      <c r="A78" s="18" t="s">
        <v>24</v>
      </c>
      <c r="B78" s="19" t="s">
        <v>77</v>
      </c>
      <c r="C78" s="19" t="s">
        <v>78</v>
      </c>
      <c r="D78" s="19" t="s">
        <v>236</v>
      </c>
      <c r="E78" s="20" t="s">
        <v>21</v>
      </c>
      <c r="F78" s="12"/>
      <c r="G78" s="13"/>
      <c r="H78" s="12">
        <v>11</v>
      </c>
      <c r="I78" s="13">
        <v>186133</v>
      </c>
      <c r="J78" s="12">
        <v>2</v>
      </c>
      <c r="K78" s="13">
        <v>1460</v>
      </c>
      <c r="L78" s="12">
        <v>11</v>
      </c>
      <c r="M78" s="13">
        <v>293624</v>
      </c>
      <c r="N78" s="12">
        <v>1</v>
      </c>
      <c r="O78" s="13">
        <v>5107</v>
      </c>
      <c r="P78" s="12"/>
      <c r="Q78" s="13"/>
      <c r="R78" s="12">
        <v>5</v>
      </c>
      <c r="S78" s="13">
        <v>1833</v>
      </c>
      <c r="T78" s="12">
        <v>9</v>
      </c>
      <c r="U78" s="13">
        <v>1242</v>
      </c>
      <c r="V78" s="12">
        <v>6</v>
      </c>
      <c r="W78" s="13">
        <v>1373</v>
      </c>
      <c r="X78" s="12"/>
      <c r="Y78" s="13"/>
      <c r="Z78" s="12"/>
      <c r="AA78" s="13"/>
    </row>
    <row r="79" spans="1:27" x14ac:dyDescent="0.3">
      <c r="A79" s="18" t="s">
        <v>24</v>
      </c>
      <c r="B79" s="19" t="s">
        <v>77</v>
      </c>
      <c r="C79" s="19" t="s">
        <v>78</v>
      </c>
      <c r="D79" s="19" t="s">
        <v>96</v>
      </c>
      <c r="E79" s="20" t="s">
        <v>22</v>
      </c>
      <c r="F79" s="12">
        <v>3</v>
      </c>
      <c r="G79" s="13">
        <v>1244</v>
      </c>
      <c r="H79" s="12">
        <v>3</v>
      </c>
      <c r="I79" s="13">
        <v>106</v>
      </c>
      <c r="J79" s="12"/>
      <c r="K79" s="13"/>
      <c r="L79" s="12">
        <v>4</v>
      </c>
      <c r="M79" s="13">
        <v>223</v>
      </c>
      <c r="N79" s="12"/>
      <c r="O79" s="13"/>
      <c r="P79" s="12"/>
      <c r="Q79" s="13"/>
      <c r="R79" s="12">
        <v>12</v>
      </c>
      <c r="S79" s="13">
        <v>13979</v>
      </c>
      <c r="T79" s="12">
        <v>11</v>
      </c>
      <c r="U79" s="13">
        <v>2845</v>
      </c>
      <c r="V79" s="12">
        <v>9</v>
      </c>
      <c r="W79" s="13">
        <v>3088</v>
      </c>
      <c r="X79" s="12"/>
      <c r="Y79" s="13"/>
      <c r="Z79" s="12"/>
      <c r="AA79" s="13"/>
    </row>
    <row r="80" spans="1:27" x14ac:dyDescent="0.3">
      <c r="A80" s="18" t="s">
        <v>24</v>
      </c>
      <c r="B80" s="19" t="s">
        <v>210</v>
      </c>
      <c r="C80" s="19" t="s">
        <v>211</v>
      </c>
      <c r="D80" s="19" t="s">
        <v>209</v>
      </c>
      <c r="E80" s="20" t="s">
        <v>22</v>
      </c>
      <c r="F80" s="12">
        <v>1</v>
      </c>
      <c r="G80" s="13">
        <v>654</v>
      </c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>
        <v>1</v>
      </c>
      <c r="U80" s="13">
        <v>127</v>
      </c>
      <c r="V80" s="12"/>
      <c r="W80" s="13"/>
      <c r="X80" s="12"/>
      <c r="Y80" s="13"/>
      <c r="Z80" s="12"/>
      <c r="AA80" s="13"/>
    </row>
    <row r="81" spans="1:27" x14ac:dyDescent="0.3">
      <c r="A81" s="18" t="s">
        <v>24</v>
      </c>
      <c r="B81" s="19" t="s">
        <v>71</v>
      </c>
      <c r="C81" s="19" t="s">
        <v>103</v>
      </c>
      <c r="D81" s="19" t="s">
        <v>166</v>
      </c>
      <c r="E81" s="20" t="s">
        <v>22</v>
      </c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>
        <v>1</v>
      </c>
      <c r="S81" s="13">
        <v>282</v>
      </c>
      <c r="T81" s="12">
        <v>2</v>
      </c>
      <c r="U81" s="13">
        <v>295</v>
      </c>
      <c r="V81" s="12">
        <v>6</v>
      </c>
      <c r="W81" s="13">
        <v>1151</v>
      </c>
      <c r="X81" s="12">
        <v>2</v>
      </c>
      <c r="Y81" s="13">
        <v>218</v>
      </c>
      <c r="Z81" s="12"/>
      <c r="AA81" s="13"/>
    </row>
    <row r="82" spans="1:27" x14ac:dyDescent="0.3">
      <c r="A82" s="18" t="s">
        <v>24</v>
      </c>
      <c r="B82" s="19" t="s">
        <v>71</v>
      </c>
      <c r="C82" s="19" t="s">
        <v>103</v>
      </c>
      <c r="D82" s="19" t="s">
        <v>102</v>
      </c>
      <c r="E82" s="20" t="s">
        <v>22</v>
      </c>
      <c r="F82" s="12">
        <v>11</v>
      </c>
      <c r="G82" s="13">
        <v>17435</v>
      </c>
      <c r="H82" s="12">
        <v>11</v>
      </c>
      <c r="I82" s="13">
        <v>2547</v>
      </c>
      <c r="J82" s="12">
        <v>5</v>
      </c>
      <c r="K82" s="13">
        <v>4076</v>
      </c>
      <c r="L82" s="12">
        <v>11</v>
      </c>
      <c r="M82" s="13">
        <v>5866</v>
      </c>
      <c r="N82" s="12"/>
      <c r="O82" s="13"/>
      <c r="P82" s="12">
        <v>1</v>
      </c>
      <c r="Q82" s="13">
        <v>3768</v>
      </c>
      <c r="R82" s="12">
        <v>4</v>
      </c>
      <c r="S82" s="13">
        <v>468</v>
      </c>
      <c r="T82" s="12">
        <v>12</v>
      </c>
      <c r="U82" s="13">
        <v>12430</v>
      </c>
      <c r="V82" s="12">
        <v>12</v>
      </c>
      <c r="W82" s="13">
        <v>8283</v>
      </c>
      <c r="X82" s="12"/>
      <c r="Y82" s="13"/>
      <c r="Z82" s="12"/>
      <c r="AA82" s="13"/>
    </row>
    <row r="83" spans="1:27" x14ac:dyDescent="0.3">
      <c r="A83" s="18" t="s">
        <v>24</v>
      </c>
      <c r="B83" s="19" t="s">
        <v>71</v>
      </c>
      <c r="C83" s="19" t="s">
        <v>103</v>
      </c>
      <c r="D83" s="19" t="s">
        <v>124</v>
      </c>
      <c r="E83" s="20" t="s">
        <v>22</v>
      </c>
      <c r="F83" s="12"/>
      <c r="G83" s="13"/>
      <c r="H83" s="12"/>
      <c r="I83" s="13"/>
      <c r="J83" s="12"/>
      <c r="K83" s="13"/>
      <c r="L83" s="12">
        <v>1</v>
      </c>
      <c r="M83" s="13">
        <v>505</v>
      </c>
      <c r="N83" s="12"/>
      <c r="O83" s="13"/>
      <c r="P83" s="12"/>
      <c r="Q83" s="13"/>
      <c r="R83" s="12"/>
      <c r="S83" s="13"/>
      <c r="T83" s="12">
        <v>12</v>
      </c>
      <c r="U83" s="13">
        <v>77482</v>
      </c>
      <c r="V83" s="12">
        <v>12</v>
      </c>
      <c r="W83" s="13">
        <v>107359</v>
      </c>
      <c r="X83" s="12"/>
      <c r="Y83" s="13"/>
      <c r="Z83" s="12"/>
      <c r="AA83" s="13"/>
    </row>
    <row r="84" spans="1:27" x14ac:dyDescent="0.3">
      <c r="A84" s="18" t="s">
        <v>24</v>
      </c>
      <c r="B84" s="19" t="s">
        <v>71</v>
      </c>
      <c r="C84" s="19" t="s">
        <v>72</v>
      </c>
      <c r="D84" s="19" t="s">
        <v>220</v>
      </c>
      <c r="E84" s="20" t="s">
        <v>22</v>
      </c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>
        <v>2</v>
      </c>
      <c r="AA84" s="13">
        <v>2012</v>
      </c>
    </row>
    <row r="85" spans="1:27" x14ac:dyDescent="0.3">
      <c r="A85" s="18" t="s">
        <v>24</v>
      </c>
      <c r="B85" s="19" t="s">
        <v>71</v>
      </c>
      <c r="C85" s="19" t="s">
        <v>72</v>
      </c>
      <c r="D85" s="19" t="s">
        <v>70</v>
      </c>
      <c r="E85" s="20" t="s">
        <v>22</v>
      </c>
      <c r="F85" s="12">
        <v>1</v>
      </c>
      <c r="G85" s="13">
        <v>380</v>
      </c>
      <c r="H85" s="12"/>
      <c r="I85" s="13"/>
      <c r="J85" s="12">
        <v>1</v>
      </c>
      <c r="K85" s="13">
        <v>1049</v>
      </c>
      <c r="L85" s="12">
        <v>1</v>
      </c>
      <c r="M85" s="13">
        <v>76</v>
      </c>
      <c r="N85" s="12">
        <v>1</v>
      </c>
      <c r="O85" s="13">
        <v>368</v>
      </c>
      <c r="P85" s="12"/>
      <c r="Q85" s="13"/>
      <c r="R85" s="12">
        <v>6</v>
      </c>
      <c r="S85" s="13">
        <v>2008</v>
      </c>
      <c r="T85" s="12">
        <v>12</v>
      </c>
      <c r="U85" s="13">
        <v>9001</v>
      </c>
      <c r="V85" s="12">
        <v>12</v>
      </c>
      <c r="W85" s="13">
        <v>9639</v>
      </c>
      <c r="X85" s="12">
        <v>12</v>
      </c>
      <c r="Y85" s="13">
        <v>1714</v>
      </c>
      <c r="Z85" s="12">
        <v>11</v>
      </c>
      <c r="AA85" s="13">
        <v>2196</v>
      </c>
    </row>
    <row r="86" spans="1:27" x14ac:dyDescent="0.3">
      <c r="A86" s="18" t="s">
        <v>24</v>
      </c>
      <c r="B86" s="19" t="s">
        <v>71</v>
      </c>
      <c r="C86" s="19" t="s">
        <v>72</v>
      </c>
      <c r="D86" s="19" t="s">
        <v>165</v>
      </c>
      <c r="E86" s="20" t="s">
        <v>22</v>
      </c>
      <c r="F86" s="12"/>
      <c r="G86" s="13"/>
      <c r="H86" s="12"/>
      <c r="I86" s="13"/>
      <c r="J86" s="12"/>
      <c r="K86" s="13"/>
      <c r="L86" s="12"/>
      <c r="M86" s="13"/>
      <c r="N86" s="12"/>
      <c r="O86" s="13"/>
      <c r="P86" s="12"/>
      <c r="Q86" s="13"/>
      <c r="R86" s="12"/>
      <c r="S86" s="13"/>
      <c r="T86" s="12">
        <v>1</v>
      </c>
      <c r="U86" s="13">
        <v>11</v>
      </c>
      <c r="V86" s="12">
        <v>5</v>
      </c>
      <c r="W86" s="13">
        <v>2193</v>
      </c>
      <c r="X86" s="12"/>
      <c r="Y86" s="13"/>
      <c r="Z86" s="12">
        <v>1</v>
      </c>
      <c r="AA86" s="13">
        <v>65</v>
      </c>
    </row>
    <row r="87" spans="1:27" x14ac:dyDescent="0.3">
      <c r="A87" s="18" t="s">
        <v>24</v>
      </c>
      <c r="B87" s="19" t="s">
        <v>71</v>
      </c>
      <c r="C87" s="19" t="s">
        <v>72</v>
      </c>
      <c r="D87" s="19" t="s">
        <v>160</v>
      </c>
      <c r="E87" s="20" t="s">
        <v>22</v>
      </c>
      <c r="F87" s="12">
        <v>6</v>
      </c>
      <c r="G87" s="13">
        <v>4574</v>
      </c>
      <c r="H87" s="12"/>
      <c r="I87" s="13"/>
      <c r="J87" s="12">
        <v>8</v>
      </c>
      <c r="K87" s="13">
        <v>12128</v>
      </c>
      <c r="L87" s="12">
        <v>1</v>
      </c>
      <c r="M87" s="13">
        <v>51</v>
      </c>
      <c r="N87" s="12"/>
      <c r="O87" s="13"/>
      <c r="P87" s="12"/>
      <c r="Q87" s="13"/>
      <c r="R87" s="12">
        <v>7</v>
      </c>
      <c r="S87" s="13">
        <v>1736</v>
      </c>
      <c r="T87" s="12">
        <v>10</v>
      </c>
      <c r="U87" s="13">
        <v>3815</v>
      </c>
      <c r="V87" s="12">
        <v>5</v>
      </c>
      <c r="W87" s="13">
        <v>2440</v>
      </c>
      <c r="X87" s="12"/>
      <c r="Y87" s="13"/>
      <c r="Z87" s="12"/>
      <c r="AA87" s="13"/>
    </row>
    <row r="88" spans="1:27" x14ac:dyDescent="0.3">
      <c r="A88" s="18" t="s">
        <v>24</v>
      </c>
      <c r="B88" s="19" t="s">
        <v>71</v>
      </c>
      <c r="C88" s="19" t="s">
        <v>202</v>
      </c>
      <c r="D88" s="19" t="s">
        <v>201</v>
      </c>
      <c r="E88" s="20" t="s">
        <v>22</v>
      </c>
      <c r="F88" s="12"/>
      <c r="G88" s="13"/>
      <c r="H88" s="12"/>
      <c r="I88" s="13"/>
      <c r="J88" s="12"/>
      <c r="K88" s="13"/>
      <c r="L88" s="12"/>
      <c r="M88" s="13"/>
      <c r="N88" s="12"/>
      <c r="O88" s="13"/>
      <c r="P88" s="12"/>
      <c r="Q88" s="13"/>
      <c r="R88" s="12"/>
      <c r="S88" s="13"/>
      <c r="T88" s="12"/>
      <c r="U88" s="13"/>
      <c r="V88" s="12">
        <v>1</v>
      </c>
      <c r="W88" s="13">
        <v>171</v>
      </c>
      <c r="X88" s="12"/>
      <c r="Y88" s="13"/>
      <c r="Z88" s="12">
        <v>1</v>
      </c>
      <c r="AA88" s="13">
        <v>198</v>
      </c>
    </row>
    <row r="89" spans="1:27" x14ac:dyDescent="0.3">
      <c r="A89" s="18" t="s">
        <v>24</v>
      </c>
      <c r="B89" s="19" t="s">
        <v>71</v>
      </c>
      <c r="C89" s="19" t="s">
        <v>119</v>
      </c>
      <c r="D89" s="19" t="s">
        <v>118</v>
      </c>
      <c r="E89" s="20" t="s">
        <v>22</v>
      </c>
      <c r="F89" s="12"/>
      <c r="G89" s="13"/>
      <c r="H89" s="12"/>
      <c r="I89" s="13"/>
      <c r="J89" s="12"/>
      <c r="K89" s="13"/>
      <c r="L89" s="12"/>
      <c r="M89" s="13"/>
      <c r="N89" s="12">
        <v>4</v>
      </c>
      <c r="O89" s="13">
        <v>5591</v>
      </c>
      <c r="P89" s="12"/>
      <c r="Q89" s="13"/>
      <c r="R89" s="12"/>
      <c r="S89" s="13"/>
      <c r="T89" s="12"/>
      <c r="U89" s="13"/>
      <c r="V89" s="12"/>
      <c r="W89" s="13"/>
      <c r="X89" s="12"/>
      <c r="Y89" s="13"/>
      <c r="Z89" s="12"/>
      <c r="AA89" s="13"/>
    </row>
    <row r="90" spans="1:27" x14ac:dyDescent="0.3">
      <c r="A90" s="18" t="s">
        <v>24</v>
      </c>
      <c r="B90" s="19" t="s">
        <v>71</v>
      </c>
      <c r="C90" s="19" t="s">
        <v>119</v>
      </c>
      <c r="D90" s="19" t="s">
        <v>197</v>
      </c>
      <c r="E90" s="20" t="s">
        <v>22</v>
      </c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>
        <v>1</v>
      </c>
      <c r="Q90" s="13">
        <v>1573</v>
      </c>
      <c r="R90" s="12"/>
      <c r="S90" s="13"/>
      <c r="T90" s="12"/>
      <c r="U90" s="13"/>
      <c r="V90" s="12"/>
      <c r="W90" s="13"/>
      <c r="X90" s="12"/>
      <c r="Y90" s="13"/>
      <c r="Z90" s="12">
        <v>2</v>
      </c>
      <c r="AA90" s="13">
        <v>107</v>
      </c>
    </row>
    <row r="91" spans="1:27" x14ac:dyDescent="0.3">
      <c r="A91" s="18" t="s">
        <v>24</v>
      </c>
      <c r="B91" s="19" t="s">
        <v>38</v>
      </c>
      <c r="C91" s="19" t="s">
        <v>74</v>
      </c>
      <c r="D91" s="19" t="s">
        <v>79</v>
      </c>
      <c r="E91" s="20" t="s">
        <v>22</v>
      </c>
      <c r="F91" s="12"/>
      <c r="G91" s="13"/>
      <c r="H91" s="12"/>
      <c r="I91" s="13"/>
      <c r="J91" s="12"/>
      <c r="K91" s="13"/>
      <c r="L91" s="12"/>
      <c r="M91" s="13"/>
      <c r="N91" s="12">
        <v>3</v>
      </c>
      <c r="O91" s="13">
        <v>1241</v>
      </c>
      <c r="P91" s="12">
        <v>3</v>
      </c>
      <c r="Q91" s="13">
        <v>6304</v>
      </c>
      <c r="R91" s="12"/>
      <c r="S91" s="13"/>
      <c r="T91" s="12"/>
      <c r="U91" s="13"/>
      <c r="V91" s="12"/>
      <c r="W91" s="13"/>
      <c r="X91" s="12">
        <v>2</v>
      </c>
      <c r="Y91" s="13">
        <v>267</v>
      </c>
      <c r="Z91" s="12">
        <v>2</v>
      </c>
      <c r="AA91" s="13">
        <v>762</v>
      </c>
    </row>
    <row r="92" spans="1:27" x14ac:dyDescent="0.3">
      <c r="A92" s="18" t="s">
        <v>24</v>
      </c>
      <c r="B92" s="19" t="s">
        <v>38</v>
      </c>
      <c r="C92" s="19" t="s">
        <v>74</v>
      </c>
      <c r="D92" s="19" t="s">
        <v>73</v>
      </c>
      <c r="E92" s="20" t="s">
        <v>22</v>
      </c>
      <c r="F92" s="12"/>
      <c r="G92" s="13"/>
      <c r="H92" s="12"/>
      <c r="I92" s="13"/>
      <c r="J92" s="12"/>
      <c r="K92" s="13"/>
      <c r="L92" s="12"/>
      <c r="M92" s="13"/>
      <c r="N92" s="12">
        <v>1</v>
      </c>
      <c r="O92" s="13">
        <v>2194</v>
      </c>
      <c r="P92" s="12"/>
      <c r="Q92" s="13"/>
      <c r="R92" s="12">
        <v>3</v>
      </c>
      <c r="S92" s="13">
        <v>864</v>
      </c>
      <c r="T92" s="12">
        <v>2</v>
      </c>
      <c r="U92" s="13">
        <v>68</v>
      </c>
      <c r="V92" s="12"/>
      <c r="W92" s="13"/>
      <c r="X92" s="12">
        <v>4</v>
      </c>
      <c r="Y92" s="13">
        <v>534</v>
      </c>
      <c r="Z92" s="12">
        <v>2</v>
      </c>
      <c r="AA92" s="13">
        <v>325</v>
      </c>
    </row>
    <row r="93" spans="1:27" x14ac:dyDescent="0.3">
      <c r="A93" s="18" t="s">
        <v>24</v>
      </c>
      <c r="B93" s="19" t="s">
        <v>38</v>
      </c>
      <c r="C93" s="19" t="s">
        <v>74</v>
      </c>
      <c r="D93" s="19" t="s">
        <v>234</v>
      </c>
      <c r="E93" s="20" t="s">
        <v>22</v>
      </c>
      <c r="F93" s="12"/>
      <c r="G93" s="13"/>
      <c r="H93" s="12"/>
      <c r="I93" s="13"/>
      <c r="J93" s="12"/>
      <c r="K93" s="13"/>
      <c r="L93" s="12">
        <v>1</v>
      </c>
      <c r="M93" s="13">
        <v>138</v>
      </c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</row>
    <row r="94" spans="1:27" x14ac:dyDescent="0.3">
      <c r="A94" s="18" t="s">
        <v>24</v>
      </c>
      <c r="B94" s="19" t="s">
        <v>38</v>
      </c>
      <c r="C94" s="19" t="s">
        <v>153</v>
      </c>
      <c r="D94" s="19" t="s">
        <v>152</v>
      </c>
      <c r="E94" s="20" t="s">
        <v>22</v>
      </c>
      <c r="F94" s="12"/>
      <c r="G94" s="13"/>
      <c r="H94" s="12"/>
      <c r="I94" s="13"/>
      <c r="J94" s="12"/>
      <c r="K94" s="13"/>
      <c r="L94" s="12"/>
      <c r="M94" s="13"/>
      <c r="N94" s="12"/>
      <c r="O94" s="13"/>
      <c r="P94" s="12"/>
      <c r="Q94" s="13"/>
      <c r="R94" s="12"/>
      <c r="S94" s="13"/>
      <c r="T94" s="12">
        <v>7</v>
      </c>
      <c r="U94" s="13">
        <v>369</v>
      </c>
      <c r="V94" s="12">
        <v>6</v>
      </c>
      <c r="W94" s="13">
        <v>1087</v>
      </c>
      <c r="X94" s="12">
        <v>1</v>
      </c>
      <c r="Y94" s="13">
        <v>73</v>
      </c>
      <c r="Z94" s="12"/>
      <c r="AA94" s="13"/>
    </row>
    <row r="95" spans="1:27" x14ac:dyDescent="0.3">
      <c r="A95" s="18" t="s">
        <v>24</v>
      </c>
      <c r="B95" s="19" t="s">
        <v>38</v>
      </c>
      <c r="C95" s="19" t="s">
        <v>39</v>
      </c>
      <c r="D95" s="19" t="s">
        <v>219</v>
      </c>
      <c r="E95" s="20" t="s">
        <v>22</v>
      </c>
      <c r="F95" s="12"/>
      <c r="G95" s="13"/>
      <c r="H95" s="12"/>
      <c r="I95" s="13"/>
      <c r="J95" s="12"/>
      <c r="K95" s="13"/>
      <c r="L95" s="12"/>
      <c r="M95" s="13"/>
      <c r="N95" s="12">
        <v>1</v>
      </c>
      <c r="O95" s="13">
        <v>15</v>
      </c>
      <c r="P95" s="12"/>
      <c r="Q95" s="13"/>
      <c r="R95" s="12"/>
      <c r="S95" s="13"/>
      <c r="T95" s="12"/>
      <c r="U95" s="13"/>
      <c r="V95" s="12"/>
      <c r="W95" s="13"/>
      <c r="X95" s="12"/>
      <c r="Y95" s="13"/>
      <c r="Z95" s="12"/>
      <c r="AA95" s="13"/>
    </row>
    <row r="96" spans="1:27" x14ac:dyDescent="0.3">
      <c r="A96" s="18" t="s">
        <v>24</v>
      </c>
      <c r="B96" s="19" t="s">
        <v>38</v>
      </c>
      <c r="C96" s="19" t="s">
        <v>39</v>
      </c>
      <c r="D96" s="19" t="s">
        <v>123</v>
      </c>
      <c r="E96" s="20" t="s">
        <v>22</v>
      </c>
      <c r="F96" s="12"/>
      <c r="G96" s="13"/>
      <c r="H96" s="12"/>
      <c r="I96" s="13"/>
      <c r="J96" s="12"/>
      <c r="K96" s="13"/>
      <c r="L96" s="12"/>
      <c r="M96" s="13"/>
      <c r="N96" s="12">
        <v>4</v>
      </c>
      <c r="O96" s="13">
        <v>3534</v>
      </c>
      <c r="P96" s="12">
        <v>2</v>
      </c>
      <c r="Q96" s="13">
        <v>2379</v>
      </c>
      <c r="R96" s="12">
        <v>1</v>
      </c>
      <c r="S96" s="13">
        <v>26</v>
      </c>
      <c r="T96" s="12"/>
      <c r="U96" s="13"/>
      <c r="V96" s="12"/>
      <c r="W96" s="13"/>
      <c r="X96" s="12"/>
      <c r="Y96" s="13"/>
      <c r="Z96" s="12"/>
      <c r="AA96" s="13"/>
    </row>
    <row r="97" spans="1:27" x14ac:dyDescent="0.3">
      <c r="A97" s="18" t="s">
        <v>24</v>
      </c>
      <c r="B97" s="19" t="s">
        <v>38</v>
      </c>
      <c r="C97" s="19" t="s">
        <v>39</v>
      </c>
      <c r="D97" s="19" t="s">
        <v>37</v>
      </c>
      <c r="E97" s="20" t="s">
        <v>22</v>
      </c>
      <c r="F97" s="12"/>
      <c r="G97" s="13"/>
      <c r="H97" s="12"/>
      <c r="I97" s="13"/>
      <c r="J97" s="12"/>
      <c r="K97" s="13"/>
      <c r="L97" s="12">
        <v>1</v>
      </c>
      <c r="M97" s="13">
        <v>51</v>
      </c>
      <c r="N97" s="12">
        <v>4</v>
      </c>
      <c r="O97" s="13">
        <v>774</v>
      </c>
      <c r="P97" s="12">
        <v>1</v>
      </c>
      <c r="Q97" s="13">
        <v>3705</v>
      </c>
      <c r="R97" s="12"/>
      <c r="S97" s="13"/>
      <c r="T97" s="12"/>
      <c r="U97" s="13"/>
      <c r="V97" s="12">
        <v>2</v>
      </c>
      <c r="W97" s="13">
        <v>78</v>
      </c>
      <c r="X97" s="12"/>
      <c r="Y97" s="13"/>
      <c r="Z97" s="12"/>
      <c r="AA97" s="13"/>
    </row>
    <row r="98" spans="1:27" x14ac:dyDescent="0.3">
      <c r="A98" s="18" t="s">
        <v>24</v>
      </c>
      <c r="B98" s="19" t="s">
        <v>178</v>
      </c>
      <c r="C98" s="19" t="s">
        <v>179</v>
      </c>
      <c r="D98" s="19" t="s">
        <v>177</v>
      </c>
      <c r="E98" s="20" t="s">
        <v>22</v>
      </c>
      <c r="F98" s="12"/>
      <c r="G98" s="13"/>
      <c r="H98" s="12"/>
      <c r="I98" s="13"/>
      <c r="J98" s="12"/>
      <c r="K98" s="13"/>
      <c r="L98" s="12"/>
      <c r="M98" s="13"/>
      <c r="N98" s="12"/>
      <c r="O98" s="13"/>
      <c r="P98" s="12"/>
      <c r="Q98" s="13"/>
      <c r="R98" s="12"/>
      <c r="S98" s="13"/>
      <c r="T98" s="12">
        <v>1</v>
      </c>
      <c r="U98" s="13">
        <v>170</v>
      </c>
      <c r="V98" s="12"/>
      <c r="W98" s="13"/>
      <c r="X98" s="12">
        <v>2</v>
      </c>
      <c r="Y98" s="13">
        <v>401</v>
      </c>
      <c r="Z98" s="12">
        <v>3</v>
      </c>
      <c r="AA98" s="13">
        <v>484</v>
      </c>
    </row>
    <row r="99" spans="1:27" x14ac:dyDescent="0.3">
      <c r="A99" s="18" t="s">
        <v>24</v>
      </c>
      <c r="B99" s="19" t="s">
        <v>212</v>
      </c>
      <c r="C99" s="19" t="s">
        <v>213</v>
      </c>
      <c r="D99" s="19" t="s">
        <v>243</v>
      </c>
      <c r="E99" s="20" t="s">
        <v>21</v>
      </c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>
        <v>3</v>
      </c>
      <c r="U99" s="13">
        <v>323</v>
      </c>
      <c r="V99" s="12">
        <v>1</v>
      </c>
      <c r="W99" s="13">
        <v>167</v>
      </c>
      <c r="X99" s="12"/>
      <c r="Y99" s="13"/>
      <c r="Z99" s="12"/>
      <c r="AA99" s="13"/>
    </row>
    <row r="100" spans="1:27" x14ac:dyDescent="0.3">
      <c r="A100" s="18" t="s">
        <v>24</v>
      </c>
      <c r="B100" s="19" t="s">
        <v>41</v>
      </c>
      <c r="C100" s="19" t="s">
        <v>42</v>
      </c>
      <c r="D100" s="19" t="s">
        <v>40</v>
      </c>
      <c r="E100" s="20" t="s">
        <v>22</v>
      </c>
      <c r="F100" s="12">
        <v>6</v>
      </c>
      <c r="G100" s="13">
        <v>2141</v>
      </c>
      <c r="H100" s="12">
        <v>4</v>
      </c>
      <c r="I100" s="13">
        <v>186</v>
      </c>
      <c r="J100" s="12">
        <v>5</v>
      </c>
      <c r="K100" s="13">
        <v>557</v>
      </c>
      <c r="L100" s="12">
        <v>7</v>
      </c>
      <c r="M100" s="13">
        <v>505</v>
      </c>
      <c r="N100" s="12">
        <v>9</v>
      </c>
      <c r="O100" s="13">
        <v>3478</v>
      </c>
      <c r="P100" s="12">
        <v>3</v>
      </c>
      <c r="Q100" s="13">
        <v>1853</v>
      </c>
      <c r="R100" s="12">
        <v>2</v>
      </c>
      <c r="S100" s="13">
        <v>83</v>
      </c>
      <c r="T100" s="12">
        <v>9</v>
      </c>
      <c r="U100" s="13">
        <v>324</v>
      </c>
      <c r="V100" s="12">
        <v>5</v>
      </c>
      <c r="W100" s="13">
        <v>428</v>
      </c>
      <c r="X100" s="12"/>
      <c r="Y100" s="13"/>
      <c r="Z100" s="12"/>
      <c r="AA100" s="13"/>
    </row>
    <row r="101" spans="1:27" x14ac:dyDescent="0.3">
      <c r="A101" s="18" t="s">
        <v>24</v>
      </c>
      <c r="B101" s="19" t="s">
        <v>41</v>
      </c>
      <c r="C101" s="19" t="s">
        <v>52</v>
      </c>
      <c r="D101" s="19" t="s">
        <v>237</v>
      </c>
      <c r="E101" s="20" t="s">
        <v>21</v>
      </c>
      <c r="F101" s="12"/>
      <c r="G101" s="13"/>
      <c r="H101" s="12"/>
      <c r="I101" s="13"/>
      <c r="J101" s="12">
        <v>1</v>
      </c>
      <c r="K101" s="13">
        <v>401</v>
      </c>
      <c r="L101" s="12"/>
      <c r="M101" s="13"/>
      <c r="N101" s="12"/>
      <c r="O101" s="13"/>
      <c r="P101" s="12"/>
      <c r="Q101" s="13"/>
      <c r="R101" s="12"/>
      <c r="S101" s="13"/>
      <c r="T101" s="12"/>
      <c r="U101" s="13"/>
      <c r="V101" s="12"/>
      <c r="W101" s="13"/>
      <c r="X101" s="12"/>
      <c r="Y101" s="13"/>
      <c r="Z101" s="12">
        <v>1</v>
      </c>
      <c r="AA101" s="13">
        <v>143</v>
      </c>
    </row>
    <row r="102" spans="1:27" x14ac:dyDescent="0.3">
      <c r="A102" s="18" t="s">
        <v>24</v>
      </c>
      <c r="B102" s="19" t="s">
        <v>41</v>
      </c>
      <c r="C102" s="19" t="s">
        <v>52</v>
      </c>
      <c r="D102" s="19" t="s">
        <v>174</v>
      </c>
      <c r="E102" s="20" t="s">
        <v>21</v>
      </c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>
        <v>3</v>
      </c>
      <c r="AA102" s="13">
        <v>283</v>
      </c>
    </row>
    <row r="103" spans="1:27" x14ac:dyDescent="0.3">
      <c r="A103" s="18" t="s">
        <v>24</v>
      </c>
      <c r="B103" s="19" t="s">
        <v>41</v>
      </c>
      <c r="C103" s="19" t="s">
        <v>52</v>
      </c>
      <c r="D103" s="19" t="s">
        <v>183</v>
      </c>
      <c r="E103" s="20" t="s">
        <v>22</v>
      </c>
      <c r="F103" s="12"/>
      <c r="G103" s="13"/>
      <c r="H103" s="12">
        <v>6</v>
      </c>
      <c r="I103" s="13">
        <v>857</v>
      </c>
      <c r="J103" s="12"/>
      <c r="K103" s="13"/>
      <c r="L103" s="12">
        <v>4</v>
      </c>
      <c r="M103" s="13">
        <v>1105</v>
      </c>
      <c r="N103" s="12"/>
      <c r="O103" s="13"/>
      <c r="P103" s="12"/>
      <c r="Q103" s="13"/>
      <c r="R103" s="12"/>
      <c r="S103" s="13"/>
      <c r="T103" s="12">
        <v>1</v>
      </c>
      <c r="U103" s="13">
        <v>91</v>
      </c>
      <c r="V103" s="12"/>
      <c r="W103" s="13"/>
      <c r="X103" s="12"/>
      <c r="Y103" s="13"/>
      <c r="Z103" s="12"/>
      <c r="AA103" s="13"/>
    </row>
    <row r="104" spans="1:27" x14ac:dyDescent="0.3">
      <c r="A104" s="18" t="s">
        <v>24</v>
      </c>
      <c r="B104" s="19" t="s">
        <v>41</v>
      </c>
      <c r="C104" s="19" t="s">
        <v>52</v>
      </c>
      <c r="D104" s="19" t="s">
        <v>91</v>
      </c>
      <c r="E104" s="20" t="s">
        <v>22</v>
      </c>
      <c r="F104" s="12">
        <v>1</v>
      </c>
      <c r="G104" s="13">
        <v>434</v>
      </c>
      <c r="H104" s="12">
        <v>11</v>
      </c>
      <c r="I104" s="13">
        <v>29458</v>
      </c>
      <c r="J104" s="12"/>
      <c r="K104" s="13"/>
      <c r="L104" s="12">
        <v>11</v>
      </c>
      <c r="M104" s="13">
        <v>67686</v>
      </c>
      <c r="N104" s="12"/>
      <c r="O104" s="13"/>
      <c r="P104" s="12">
        <v>1</v>
      </c>
      <c r="Q104" s="13">
        <v>1183</v>
      </c>
      <c r="R104" s="12">
        <v>7</v>
      </c>
      <c r="S104" s="13">
        <v>3413</v>
      </c>
      <c r="T104" s="12">
        <v>3</v>
      </c>
      <c r="U104" s="13">
        <v>289</v>
      </c>
      <c r="V104" s="12">
        <v>3</v>
      </c>
      <c r="W104" s="13">
        <v>396</v>
      </c>
      <c r="X104" s="12">
        <v>4</v>
      </c>
      <c r="Y104" s="13">
        <v>225</v>
      </c>
      <c r="Z104" s="12"/>
      <c r="AA104" s="13"/>
    </row>
    <row r="105" spans="1:27" x14ac:dyDescent="0.3">
      <c r="A105" s="18" t="s">
        <v>24</v>
      </c>
      <c r="B105" s="19" t="s">
        <v>41</v>
      </c>
      <c r="C105" s="19" t="s">
        <v>52</v>
      </c>
      <c r="D105" s="19" t="s">
        <v>51</v>
      </c>
      <c r="E105" s="20" t="s">
        <v>22</v>
      </c>
      <c r="F105" s="12"/>
      <c r="G105" s="13"/>
      <c r="H105" s="12">
        <v>3</v>
      </c>
      <c r="I105" s="13">
        <v>139</v>
      </c>
      <c r="J105" s="12"/>
      <c r="K105" s="13"/>
      <c r="L105" s="12"/>
      <c r="M105" s="13"/>
      <c r="N105" s="12">
        <v>1</v>
      </c>
      <c r="O105" s="13">
        <v>178</v>
      </c>
      <c r="P105" s="12"/>
      <c r="Q105" s="13"/>
      <c r="R105" s="12">
        <v>4</v>
      </c>
      <c r="S105" s="13">
        <v>421</v>
      </c>
      <c r="T105" s="12">
        <v>7</v>
      </c>
      <c r="U105" s="13">
        <v>653</v>
      </c>
      <c r="V105" s="12"/>
      <c r="W105" s="13"/>
      <c r="X105" s="12">
        <v>12</v>
      </c>
      <c r="Y105" s="13">
        <v>11450</v>
      </c>
      <c r="Z105" s="12">
        <v>12</v>
      </c>
      <c r="AA105" s="13">
        <v>43377</v>
      </c>
    </row>
    <row r="106" spans="1:27" x14ac:dyDescent="0.3">
      <c r="A106" s="18" t="s">
        <v>24</v>
      </c>
      <c r="B106" s="19" t="s">
        <v>41</v>
      </c>
      <c r="C106" s="19" t="s">
        <v>52</v>
      </c>
      <c r="D106" s="19" t="s">
        <v>125</v>
      </c>
      <c r="E106" s="20" t="s">
        <v>22</v>
      </c>
      <c r="F106" s="12"/>
      <c r="G106" s="13"/>
      <c r="H106" s="12">
        <v>8</v>
      </c>
      <c r="I106" s="13">
        <v>1124</v>
      </c>
      <c r="J106" s="12"/>
      <c r="K106" s="13"/>
      <c r="L106" s="12">
        <v>6</v>
      </c>
      <c r="M106" s="13">
        <v>2107</v>
      </c>
      <c r="N106" s="12"/>
      <c r="O106" s="13"/>
      <c r="P106" s="12">
        <v>1</v>
      </c>
      <c r="Q106" s="13">
        <v>832</v>
      </c>
      <c r="R106" s="12">
        <v>12</v>
      </c>
      <c r="S106" s="13">
        <v>12695</v>
      </c>
      <c r="T106" s="12">
        <v>12</v>
      </c>
      <c r="U106" s="13">
        <v>57628</v>
      </c>
      <c r="V106" s="12">
        <v>12</v>
      </c>
      <c r="W106" s="13">
        <v>50708</v>
      </c>
      <c r="X106" s="12">
        <v>2</v>
      </c>
      <c r="Y106" s="13">
        <v>149</v>
      </c>
      <c r="Z106" s="12">
        <v>3</v>
      </c>
      <c r="AA106" s="13">
        <v>625</v>
      </c>
    </row>
    <row r="107" spans="1:27" x14ac:dyDescent="0.3">
      <c r="A107" s="18" t="s">
        <v>24</v>
      </c>
      <c r="B107" s="19" t="s">
        <v>32</v>
      </c>
      <c r="C107" s="19" t="s">
        <v>68</v>
      </c>
      <c r="D107" s="19" t="s">
        <v>156</v>
      </c>
      <c r="E107" s="20" t="s">
        <v>22</v>
      </c>
      <c r="F107" s="12"/>
      <c r="G107" s="13"/>
      <c r="H107" s="12"/>
      <c r="I107" s="13"/>
      <c r="J107" s="12"/>
      <c r="K107" s="13"/>
      <c r="L107" s="12"/>
      <c r="M107" s="13"/>
      <c r="N107" s="12"/>
      <c r="O107" s="13"/>
      <c r="P107" s="12"/>
      <c r="Q107" s="13"/>
      <c r="R107" s="12">
        <v>3</v>
      </c>
      <c r="S107" s="13">
        <v>555</v>
      </c>
      <c r="T107" s="12"/>
      <c r="U107" s="13"/>
      <c r="V107" s="12">
        <v>1</v>
      </c>
      <c r="W107" s="13">
        <v>641</v>
      </c>
      <c r="X107" s="12"/>
      <c r="Y107" s="13"/>
      <c r="Z107" s="12"/>
      <c r="AA107" s="13"/>
    </row>
    <row r="108" spans="1:27" x14ac:dyDescent="0.3">
      <c r="A108" s="18" t="s">
        <v>24</v>
      </c>
      <c r="B108" s="19" t="s">
        <v>32</v>
      </c>
      <c r="C108" s="19" t="s">
        <v>68</v>
      </c>
      <c r="D108" s="19" t="s">
        <v>218</v>
      </c>
      <c r="E108" s="20" t="s">
        <v>22</v>
      </c>
      <c r="F108" s="12">
        <v>1</v>
      </c>
      <c r="G108" s="13">
        <v>771</v>
      </c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>
        <v>2</v>
      </c>
      <c r="U108" s="13">
        <v>711</v>
      </c>
      <c r="V108" s="12">
        <v>1</v>
      </c>
      <c r="W108" s="13">
        <v>289</v>
      </c>
      <c r="X108" s="12"/>
      <c r="Y108" s="13"/>
      <c r="Z108" s="12">
        <v>1</v>
      </c>
      <c r="AA108" s="13">
        <v>561</v>
      </c>
    </row>
    <row r="109" spans="1:27" x14ac:dyDescent="0.3">
      <c r="A109" s="18" t="s">
        <v>24</v>
      </c>
      <c r="B109" s="19" t="s">
        <v>32</v>
      </c>
      <c r="C109" s="19" t="s">
        <v>68</v>
      </c>
      <c r="D109" s="19" t="s">
        <v>67</v>
      </c>
      <c r="E109" s="20" t="s">
        <v>22</v>
      </c>
      <c r="F109" s="12"/>
      <c r="G109" s="13"/>
      <c r="H109" s="12"/>
      <c r="I109" s="13"/>
      <c r="J109" s="12">
        <v>1</v>
      </c>
      <c r="K109" s="13">
        <v>605</v>
      </c>
      <c r="L109" s="12"/>
      <c r="M109" s="13"/>
      <c r="N109" s="12"/>
      <c r="O109" s="13"/>
      <c r="P109" s="12"/>
      <c r="Q109" s="13"/>
      <c r="R109" s="12">
        <v>4</v>
      </c>
      <c r="S109" s="13">
        <v>702</v>
      </c>
      <c r="T109" s="12">
        <v>3</v>
      </c>
      <c r="U109" s="13">
        <v>1003</v>
      </c>
      <c r="V109" s="12">
        <v>1</v>
      </c>
      <c r="W109" s="13">
        <v>238</v>
      </c>
      <c r="X109" s="12">
        <v>4</v>
      </c>
      <c r="Y109" s="13">
        <v>1088</v>
      </c>
      <c r="Z109" s="12">
        <v>1</v>
      </c>
      <c r="AA109" s="13">
        <v>355</v>
      </c>
    </row>
    <row r="110" spans="1:27" x14ac:dyDescent="0.3">
      <c r="A110" s="18" t="s">
        <v>24</v>
      </c>
      <c r="B110" s="19" t="s">
        <v>32</v>
      </c>
      <c r="C110" s="19" t="s">
        <v>33</v>
      </c>
      <c r="D110" s="19" t="s">
        <v>43</v>
      </c>
      <c r="E110" s="20" t="s">
        <v>22</v>
      </c>
      <c r="F110" s="12">
        <v>12</v>
      </c>
      <c r="G110" s="13">
        <v>101636</v>
      </c>
      <c r="H110" s="12"/>
      <c r="I110" s="13"/>
      <c r="J110" s="12">
        <v>9</v>
      </c>
      <c r="K110" s="13">
        <v>79533</v>
      </c>
      <c r="L110" s="12">
        <v>4</v>
      </c>
      <c r="M110" s="13">
        <v>1416</v>
      </c>
      <c r="N110" s="12">
        <v>2</v>
      </c>
      <c r="O110" s="13">
        <v>2018</v>
      </c>
      <c r="P110" s="12">
        <v>1</v>
      </c>
      <c r="Q110" s="13">
        <v>7966</v>
      </c>
      <c r="R110" s="12">
        <v>11</v>
      </c>
      <c r="S110" s="13">
        <v>11783</v>
      </c>
      <c r="T110" s="12">
        <v>12</v>
      </c>
      <c r="U110" s="13">
        <v>22508</v>
      </c>
      <c r="V110" s="12">
        <v>12</v>
      </c>
      <c r="W110" s="13">
        <v>20317</v>
      </c>
      <c r="X110" s="12">
        <v>12</v>
      </c>
      <c r="Y110" s="13">
        <v>412702</v>
      </c>
      <c r="Z110" s="12">
        <v>12</v>
      </c>
      <c r="AA110" s="13">
        <v>713723</v>
      </c>
    </row>
    <row r="111" spans="1:27" x14ac:dyDescent="0.3">
      <c r="A111" s="18" t="s">
        <v>24</v>
      </c>
      <c r="B111" s="19" t="s">
        <v>32</v>
      </c>
      <c r="C111" s="19" t="s">
        <v>33</v>
      </c>
      <c r="D111" s="19" t="s">
        <v>95</v>
      </c>
      <c r="E111" s="20" t="s">
        <v>22</v>
      </c>
      <c r="F111" s="12">
        <v>3</v>
      </c>
      <c r="G111" s="13">
        <v>4071</v>
      </c>
      <c r="H111" s="12">
        <v>10</v>
      </c>
      <c r="I111" s="13">
        <v>1523</v>
      </c>
      <c r="J111" s="12">
        <v>1</v>
      </c>
      <c r="K111" s="13">
        <v>109</v>
      </c>
      <c r="L111" s="12">
        <v>9</v>
      </c>
      <c r="M111" s="13">
        <v>3482</v>
      </c>
      <c r="N111" s="12"/>
      <c r="O111" s="13"/>
      <c r="P111" s="12">
        <v>1</v>
      </c>
      <c r="Q111" s="13">
        <v>2081</v>
      </c>
      <c r="R111" s="12">
        <v>5</v>
      </c>
      <c r="S111" s="13">
        <v>1164</v>
      </c>
      <c r="T111" s="12">
        <v>9</v>
      </c>
      <c r="U111" s="13">
        <v>2247</v>
      </c>
      <c r="V111" s="12">
        <v>6</v>
      </c>
      <c r="W111" s="13">
        <v>841</v>
      </c>
      <c r="X111" s="12">
        <v>3</v>
      </c>
      <c r="Y111" s="13">
        <v>214</v>
      </c>
      <c r="Z111" s="12">
        <v>1</v>
      </c>
      <c r="AA111" s="13">
        <v>96</v>
      </c>
    </row>
    <row r="112" spans="1:27" x14ac:dyDescent="0.3">
      <c r="A112" s="18" t="s">
        <v>24</v>
      </c>
      <c r="B112" s="19" t="s">
        <v>32</v>
      </c>
      <c r="C112" s="19" t="s">
        <v>33</v>
      </c>
      <c r="D112" s="19" t="s">
        <v>90</v>
      </c>
      <c r="E112" s="20" t="s">
        <v>22</v>
      </c>
      <c r="F112" s="12">
        <v>9</v>
      </c>
      <c r="G112" s="13">
        <v>5705</v>
      </c>
      <c r="H112" s="12">
        <v>11</v>
      </c>
      <c r="I112" s="13">
        <v>3186</v>
      </c>
      <c r="J112" s="12">
        <v>8</v>
      </c>
      <c r="K112" s="13">
        <v>5990</v>
      </c>
      <c r="L112" s="12">
        <v>10</v>
      </c>
      <c r="M112" s="13">
        <v>5659</v>
      </c>
      <c r="N112" s="12"/>
      <c r="O112" s="13"/>
      <c r="P112" s="12">
        <v>1</v>
      </c>
      <c r="Q112" s="13">
        <v>2104</v>
      </c>
      <c r="R112" s="12">
        <v>12</v>
      </c>
      <c r="S112" s="13">
        <v>8583</v>
      </c>
      <c r="T112" s="12">
        <v>12</v>
      </c>
      <c r="U112" s="13">
        <v>28099</v>
      </c>
      <c r="V112" s="12">
        <v>12</v>
      </c>
      <c r="W112" s="13">
        <v>30473</v>
      </c>
      <c r="X112" s="12"/>
      <c r="Y112" s="13"/>
      <c r="Z112" s="12"/>
      <c r="AA112" s="13"/>
    </row>
    <row r="113" spans="1:27" x14ac:dyDescent="0.3">
      <c r="A113" s="18" t="s">
        <v>24</v>
      </c>
      <c r="B113" s="19" t="s">
        <v>32</v>
      </c>
      <c r="C113" s="19" t="s">
        <v>33</v>
      </c>
      <c r="D113" s="19" t="s">
        <v>185</v>
      </c>
      <c r="E113" s="20" t="s">
        <v>22</v>
      </c>
      <c r="F113" s="12">
        <v>1</v>
      </c>
      <c r="G113" s="13">
        <v>645</v>
      </c>
      <c r="H113" s="12"/>
      <c r="I113" s="13"/>
      <c r="J113" s="12"/>
      <c r="K113" s="13"/>
      <c r="L113" s="12"/>
      <c r="M113" s="13"/>
      <c r="N113" s="12"/>
      <c r="O113" s="13"/>
      <c r="P113" s="12"/>
      <c r="Q113" s="13"/>
      <c r="R113" s="12">
        <v>4</v>
      </c>
      <c r="S113" s="13">
        <v>613</v>
      </c>
      <c r="T113" s="12"/>
      <c r="U113" s="13"/>
      <c r="V113" s="12"/>
      <c r="W113" s="13"/>
      <c r="X113" s="12"/>
      <c r="Y113" s="13"/>
      <c r="Z113" s="12"/>
      <c r="AA113" s="13"/>
    </row>
    <row r="114" spans="1:27" x14ac:dyDescent="0.3">
      <c r="A114" s="18" t="s">
        <v>24</v>
      </c>
      <c r="B114" s="19" t="s">
        <v>32</v>
      </c>
      <c r="C114" s="19" t="s">
        <v>33</v>
      </c>
      <c r="D114" s="19" t="s">
        <v>92</v>
      </c>
      <c r="E114" s="20" t="s">
        <v>22</v>
      </c>
      <c r="F114" s="12">
        <v>3</v>
      </c>
      <c r="G114" s="13">
        <v>1923</v>
      </c>
      <c r="H114" s="12">
        <v>11</v>
      </c>
      <c r="I114" s="13">
        <v>7289</v>
      </c>
      <c r="J114" s="12">
        <v>3</v>
      </c>
      <c r="K114" s="13">
        <v>1342</v>
      </c>
      <c r="L114" s="12">
        <v>11</v>
      </c>
      <c r="M114" s="13">
        <v>13625</v>
      </c>
      <c r="N114" s="12"/>
      <c r="O114" s="13"/>
      <c r="P114" s="12"/>
      <c r="Q114" s="13"/>
      <c r="R114" s="12">
        <v>9</v>
      </c>
      <c r="S114" s="13">
        <v>8728</v>
      </c>
      <c r="T114" s="12">
        <v>6</v>
      </c>
      <c r="U114" s="13">
        <v>775</v>
      </c>
      <c r="V114" s="12">
        <v>3</v>
      </c>
      <c r="W114" s="13">
        <v>1005</v>
      </c>
      <c r="X114" s="12"/>
      <c r="Y114" s="13"/>
      <c r="Z114" s="12"/>
      <c r="AA114" s="13"/>
    </row>
    <row r="115" spans="1:27" x14ac:dyDescent="0.3">
      <c r="A115" s="18" t="s">
        <v>24</v>
      </c>
      <c r="B115" s="19" t="s">
        <v>32</v>
      </c>
      <c r="C115" s="19" t="s">
        <v>33</v>
      </c>
      <c r="D115" s="19" t="s">
        <v>75</v>
      </c>
      <c r="E115" s="20" t="s">
        <v>22</v>
      </c>
      <c r="F115" s="12">
        <v>12</v>
      </c>
      <c r="G115" s="13">
        <v>43058</v>
      </c>
      <c r="H115" s="12">
        <v>11</v>
      </c>
      <c r="I115" s="13">
        <v>19862</v>
      </c>
      <c r="J115" s="12">
        <v>9</v>
      </c>
      <c r="K115" s="13">
        <v>31897</v>
      </c>
      <c r="L115" s="12">
        <v>11</v>
      </c>
      <c r="M115" s="13">
        <v>28275</v>
      </c>
      <c r="N115" s="12">
        <v>2</v>
      </c>
      <c r="O115" s="13">
        <v>1760</v>
      </c>
      <c r="P115" s="12">
        <v>4</v>
      </c>
      <c r="Q115" s="13">
        <v>15992</v>
      </c>
      <c r="R115" s="12">
        <v>12</v>
      </c>
      <c r="S115" s="13">
        <v>59204</v>
      </c>
      <c r="T115" s="12">
        <v>12</v>
      </c>
      <c r="U115" s="13">
        <v>47294</v>
      </c>
      <c r="V115" s="12">
        <v>12</v>
      </c>
      <c r="W115" s="13">
        <v>50472</v>
      </c>
      <c r="X115" s="12"/>
      <c r="Y115" s="13"/>
      <c r="Z115" s="12"/>
      <c r="AA115" s="13"/>
    </row>
    <row r="116" spans="1:27" x14ac:dyDescent="0.3">
      <c r="A116" s="18" t="s">
        <v>24</v>
      </c>
      <c r="B116" s="19" t="s">
        <v>32</v>
      </c>
      <c r="C116" s="19" t="s">
        <v>33</v>
      </c>
      <c r="D116" s="19" t="s">
        <v>60</v>
      </c>
      <c r="E116" s="20" t="s">
        <v>22</v>
      </c>
      <c r="F116" s="12">
        <v>11</v>
      </c>
      <c r="G116" s="13">
        <v>13144</v>
      </c>
      <c r="H116" s="12">
        <v>11</v>
      </c>
      <c r="I116" s="13">
        <v>17993</v>
      </c>
      <c r="J116" s="12">
        <v>9</v>
      </c>
      <c r="K116" s="13">
        <v>13117</v>
      </c>
      <c r="L116" s="12">
        <v>11</v>
      </c>
      <c r="M116" s="13">
        <v>32077</v>
      </c>
      <c r="N116" s="12">
        <v>4</v>
      </c>
      <c r="O116" s="13">
        <v>1874</v>
      </c>
      <c r="P116" s="12">
        <v>7</v>
      </c>
      <c r="Q116" s="13">
        <v>25471</v>
      </c>
      <c r="R116" s="12">
        <v>12</v>
      </c>
      <c r="S116" s="13">
        <v>37069</v>
      </c>
      <c r="T116" s="12">
        <v>12</v>
      </c>
      <c r="U116" s="13">
        <v>15746</v>
      </c>
      <c r="V116" s="12">
        <v>12</v>
      </c>
      <c r="W116" s="13">
        <v>19699</v>
      </c>
      <c r="X116" s="12">
        <v>12</v>
      </c>
      <c r="Y116" s="13">
        <v>3443</v>
      </c>
      <c r="Z116" s="12">
        <v>12</v>
      </c>
      <c r="AA116" s="13">
        <v>11685</v>
      </c>
    </row>
    <row r="117" spans="1:27" x14ac:dyDescent="0.3">
      <c r="A117" s="18" t="s">
        <v>24</v>
      </c>
      <c r="B117" s="19" t="s">
        <v>32</v>
      </c>
      <c r="C117" s="19" t="s">
        <v>33</v>
      </c>
      <c r="D117" s="19" t="s">
        <v>47</v>
      </c>
      <c r="E117" s="20" t="s">
        <v>22</v>
      </c>
      <c r="F117" s="12">
        <v>4</v>
      </c>
      <c r="G117" s="13">
        <v>1836</v>
      </c>
      <c r="H117" s="12">
        <v>6</v>
      </c>
      <c r="I117" s="13">
        <v>581</v>
      </c>
      <c r="J117" s="12">
        <v>2</v>
      </c>
      <c r="K117" s="13">
        <v>1343</v>
      </c>
      <c r="L117" s="12">
        <v>3</v>
      </c>
      <c r="M117" s="13">
        <v>227</v>
      </c>
      <c r="N117" s="12">
        <v>7</v>
      </c>
      <c r="O117" s="13">
        <v>9874</v>
      </c>
      <c r="P117" s="12">
        <v>6</v>
      </c>
      <c r="Q117" s="13">
        <v>12924</v>
      </c>
      <c r="R117" s="12">
        <v>2</v>
      </c>
      <c r="S117" s="13">
        <v>264</v>
      </c>
      <c r="T117" s="12">
        <v>4</v>
      </c>
      <c r="U117" s="13">
        <v>296</v>
      </c>
      <c r="V117" s="12">
        <v>3</v>
      </c>
      <c r="W117" s="13">
        <v>773</v>
      </c>
      <c r="X117" s="12"/>
      <c r="Y117" s="13"/>
      <c r="Z117" s="12"/>
      <c r="AA117" s="13"/>
    </row>
    <row r="118" spans="1:27" x14ac:dyDescent="0.3">
      <c r="A118" s="18" t="s">
        <v>24</v>
      </c>
      <c r="B118" s="19" t="s">
        <v>32</v>
      </c>
      <c r="C118" s="19" t="s">
        <v>33</v>
      </c>
      <c r="D118" s="19" t="s">
        <v>48</v>
      </c>
      <c r="E118" s="20" t="s">
        <v>22</v>
      </c>
      <c r="F118" s="12">
        <v>12</v>
      </c>
      <c r="G118" s="13">
        <v>17869</v>
      </c>
      <c r="H118" s="12">
        <v>7</v>
      </c>
      <c r="I118" s="13">
        <v>850</v>
      </c>
      <c r="J118" s="12">
        <v>10</v>
      </c>
      <c r="K118" s="13">
        <v>23493</v>
      </c>
      <c r="L118" s="12">
        <v>8</v>
      </c>
      <c r="M118" s="13">
        <v>1161</v>
      </c>
      <c r="N118" s="12">
        <v>7</v>
      </c>
      <c r="O118" s="13">
        <v>9934</v>
      </c>
      <c r="P118" s="12">
        <v>7</v>
      </c>
      <c r="Q118" s="13">
        <v>38981</v>
      </c>
      <c r="R118" s="12">
        <v>12</v>
      </c>
      <c r="S118" s="13">
        <v>46465</v>
      </c>
      <c r="T118" s="12">
        <v>12</v>
      </c>
      <c r="U118" s="13">
        <v>14083</v>
      </c>
      <c r="V118" s="12">
        <v>12</v>
      </c>
      <c r="W118" s="13">
        <v>17770</v>
      </c>
      <c r="X118" s="12"/>
      <c r="Y118" s="13"/>
      <c r="Z118" s="12"/>
      <c r="AA118" s="13"/>
    </row>
    <row r="119" spans="1:27" x14ac:dyDescent="0.3">
      <c r="A119" s="18" t="s">
        <v>24</v>
      </c>
      <c r="B119" s="19" t="s">
        <v>32</v>
      </c>
      <c r="C119" s="19" t="s">
        <v>33</v>
      </c>
      <c r="D119" s="19" t="s">
        <v>31</v>
      </c>
      <c r="E119" s="20" t="s">
        <v>22</v>
      </c>
      <c r="F119" s="12">
        <v>2</v>
      </c>
      <c r="G119" s="13">
        <v>662</v>
      </c>
      <c r="H119" s="12"/>
      <c r="I119" s="13"/>
      <c r="J119" s="12"/>
      <c r="K119" s="13"/>
      <c r="L119" s="12"/>
      <c r="M119" s="13"/>
      <c r="N119" s="12">
        <v>8</v>
      </c>
      <c r="O119" s="13">
        <v>11466</v>
      </c>
      <c r="P119" s="12">
        <v>7</v>
      </c>
      <c r="Q119" s="13">
        <v>33523</v>
      </c>
      <c r="R119" s="12">
        <v>12</v>
      </c>
      <c r="S119" s="13">
        <v>18959</v>
      </c>
      <c r="T119" s="12">
        <v>2</v>
      </c>
      <c r="U119" s="13">
        <v>280</v>
      </c>
      <c r="V119" s="12">
        <v>3</v>
      </c>
      <c r="W119" s="13">
        <v>650</v>
      </c>
      <c r="X119" s="12">
        <v>12</v>
      </c>
      <c r="Y119" s="13">
        <v>61815</v>
      </c>
      <c r="Z119" s="12">
        <v>12</v>
      </c>
      <c r="AA119" s="13">
        <v>99468</v>
      </c>
    </row>
    <row r="120" spans="1:27" x14ac:dyDescent="0.3">
      <c r="A120" s="18" t="s">
        <v>24</v>
      </c>
      <c r="B120" s="19" t="s">
        <v>32</v>
      </c>
      <c r="C120" s="19" t="s">
        <v>33</v>
      </c>
      <c r="D120" s="19" t="s">
        <v>161</v>
      </c>
      <c r="E120" s="20" t="s">
        <v>22</v>
      </c>
      <c r="F120" s="12"/>
      <c r="G120" s="13"/>
      <c r="H120" s="12"/>
      <c r="I120" s="13"/>
      <c r="J120" s="12"/>
      <c r="K120" s="13"/>
      <c r="L120" s="12"/>
      <c r="M120" s="13"/>
      <c r="N120" s="12"/>
      <c r="O120" s="13"/>
      <c r="P120" s="12"/>
      <c r="Q120" s="13"/>
      <c r="R120" s="12">
        <v>4</v>
      </c>
      <c r="S120" s="13">
        <v>856</v>
      </c>
      <c r="T120" s="12">
        <v>9</v>
      </c>
      <c r="U120" s="13">
        <v>1566</v>
      </c>
      <c r="V120" s="12">
        <v>9</v>
      </c>
      <c r="W120" s="13">
        <v>2828</v>
      </c>
      <c r="X120" s="12"/>
      <c r="Y120" s="13"/>
      <c r="Z120" s="12"/>
      <c r="AA120" s="13"/>
    </row>
    <row r="121" spans="1:27" x14ac:dyDescent="0.3">
      <c r="A121" s="18" t="s">
        <v>24</v>
      </c>
      <c r="B121" s="19" t="s">
        <v>32</v>
      </c>
      <c r="C121" s="19" t="s">
        <v>33</v>
      </c>
      <c r="D121" s="19" t="s">
        <v>53</v>
      </c>
      <c r="E121" s="20" t="s">
        <v>22</v>
      </c>
      <c r="F121" s="12">
        <v>2</v>
      </c>
      <c r="G121" s="13">
        <v>977</v>
      </c>
      <c r="H121" s="12">
        <v>3</v>
      </c>
      <c r="I121" s="13">
        <v>208</v>
      </c>
      <c r="J121" s="12">
        <v>1</v>
      </c>
      <c r="K121" s="13">
        <v>586</v>
      </c>
      <c r="L121" s="12">
        <v>2</v>
      </c>
      <c r="M121" s="13">
        <v>157</v>
      </c>
      <c r="N121" s="12">
        <v>4</v>
      </c>
      <c r="O121" s="13">
        <v>6333</v>
      </c>
      <c r="P121" s="12">
        <v>2</v>
      </c>
      <c r="Q121" s="13">
        <v>7519</v>
      </c>
      <c r="R121" s="12">
        <v>9</v>
      </c>
      <c r="S121" s="13">
        <v>4348</v>
      </c>
      <c r="T121" s="12">
        <v>12</v>
      </c>
      <c r="U121" s="13">
        <v>4203</v>
      </c>
      <c r="V121" s="12">
        <v>11</v>
      </c>
      <c r="W121" s="13">
        <v>4793</v>
      </c>
      <c r="X121" s="12">
        <v>12</v>
      </c>
      <c r="Y121" s="13">
        <v>10258</v>
      </c>
      <c r="Z121" s="12">
        <v>12</v>
      </c>
      <c r="AA121" s="13">
        <v>11857</v>
      </c>
    </row>
    <row r="122" spans="1:27" x14ac:dyDescent="0.3">
      <c r="A122" s="18" t="s">
        <v>24</v>
      </c>
      <c r="B122" s="19" t="s">
        <v>32</v>
      </c>
      <c r="C122" s="19" t="s">
        <v>33</v>
      </c>
      <c r="D122" s="19" t="s">
        <v>89</v>
      </c>
      <c r="E122" s="20" t="s">
        <v>22</v>
      </c>
      <c r="F122" s="12">
        <v>12</v>
      </c>
      <c r="G122" s="13">
        <v>151224</v>
      </c>
      <c r="H122" s="12">
        <v>11</v>
      </c>
      <c r="I122" s="13">
        <v>10328</v>
      </c>
      <c r="J122" s="12">
        <v>10</v>
      </c>
      <c r="K122" s="13">
        <v>78200</v>
      </c>
      <c r="L122" s="12">
        <v>11</v>
      </c>
      <c r="M122" s="13">
        <v>17746</v>
      </c>
      <c r="N122" s="12"/>
      <c r="O122" s="13"/>
      <c r="P122" s="12"/>
      <c r="Q122" s="13"/>
      <c r="R122" s="12">
        <v>12</v>
      </c>
      <c r="S122" s="13">
        <v>143019</v>
      </c>
      <c r="T122" s="12">
        <v>12</v>
      </c>
      <c r="U122" s="13">
        <v>55563</v>
      </c>
      <c r="V122" s="12">
        <v>12</v>
      </c>
      <c r="W122" s="13">
        <v>45284</v>
      </c>
      <c r="X122" s="12"/>
      <c r="Y122" s="13"/>
      <c r="Z122" s="12"/>
      <c r="AA122" s="13"/>
    </row>
    <row r="123" spans="1:27" x14ac:dyDescent="0.3">
      <c r="A123" s="18" t="s">
        <v>24</v>
      </c>
      <c r="B123" s="19" t="s">
        <v>32</v>
      </c>
      <c r="C123" s="19" t="s">
        <v>33</v>
      </c>
      <c r="D123" s="19" t="s">
        <v>36</v>
      </c>
      <c r="E123" s="20" t="s">
        <v>22</v>
      </c>
      <c r="F123" s="12">
        <v>12</v>
      </c>
      <c r="G123" s="13">
        <v>29775</v>
      </c>
      <c r="H123" s="12">
        <v>11</v>
      </c>
      <c r="I123" s="13">
        <v>20145</v>
      </c>
      <c r="J123" s="12">
        <v>9</v>
      </c>
      <c r="K123" s="13">
        <v>17877</v>
      </c>
      <c r="L123" s="12">
        <v>11</v>
      </c>
      <c r="M123" s="13">
        <v>32543</v>
      </c>
      <c r="N123" s="12">
        <v>5</v>
      </c>
      <c r="O123" s="13">
        <v>7251</v>
      </c>
      <c r="P123" s="12">
        <v>6</v>
      </c>
      <c r="Q123" s="13">
        <v>20791</v>
      </c>
      <c r="R123" s="12">
        <v>12</v>
      </c>
      <c r="S123" s="13">
        <v>29209</v>
      </c>
      <c r="T123" s="12">
        <v>12</v>
      </c>
      <c r="U123" s="13">
        <v>19184</v>
      </c>
      <c r="V123" s="12">
        <v>12</v>
      </c>
      <c r="W123" s="13">
        <v>34036</v>
      </c>
      <c r="X123" s="12"/>
      <c r="Y123" s="13"/>
      <c r="Z123" s="12"/>
      <c r="AA123" s="13"/>
    </row>
    <row r="124" spans="1:27" x14ac:dyDescent="0.3">
      <c r="A124" s="18" t="s">
        <v>24</v>
      </c>
      <c r="B124" s="19" t="s">
        <v>32</v>
      </c>
      <c r="C124" s="19" t="s">
        <v>33</v>
      </c>
      <c r="D124" s="19" t="s">
        <v>173</v>
      </c>
      <c r="E124" s="20" t="s">
        <v>22</v>
      </c>
      <c r="F124" s="12">
        <v>1</v>
      </c>
      <c r="G124" s="13">
        <v>561</v>
      </c>
      <c r="H124" s="12"/>
      <c r="I124" s="13"/>
      <c r="J124" s="12">
        <v>1</v>
      </c>
      <c r="K124" s="13">
        <v>642</v>
      </c>
      <c r="L124" s="12">
        <v>3</v>
      </c>
      <c r="M124" s="13">
        <v>957</v>
      </c>
      <c r="N124" s="12"/>
      <c r="O124" s="13"/>
      <c r="P124" s="12"/>
      <c r="Q124" s="13"/>
      <c r="R124" s="12">
        <v>2</v>
      </c>
      <c r="S124" s="13">
        <v>854</v>
      </c>
      <c r="T124" s="12">
        <v>5</v>
      </c>
      <c r="U124" s="13">
        <v>565</v>
      </c>
      <c r="V124" s="12">
        <v>3</v>
      </c>
      <c r="W124" s="13">
        <v>461</v>
      </c>
      <c r="X124" s="12">
        <v>2</v>
      </c>
      <c r="Y124" s="13">
        <v>189</v>
      </c>
      <c r="Z124" s="12">
        <v>1</v>
      </c>
      <c r="AA124" s="13">
        <v>512</v>
      </c>
    </row>
    <row r="125" spans="1:27" x14ac:dyDescent="0.3">
      <c r="A125" s="18" t="s">
        <v>24</v>
      </c>
      <c r="B125" s="19" t="s">
        <v>58</v>
      </c>
      <c r="C125" s="19" t="s">
        <v>195</v>
      </c>
      <c r="D125" s="19" t="s">
        <v>194</v>
      </c>
      <c r="E125" s="20" t="s">
        <v>22</v>
      </c>
      <c r="F125" s="12"/>
      <c r="G125" s="13"/>
      <c r="H125" s="12"/>
      <c r="I125" s="13"/>
      <c r="J125" s="12"/>
      <c r="K125" s="13"/>
      <c r="L125" s="12"/>
      <c r="M125" s="13"/>
      <c r="N125" s="12"/>
      <c r="O125" s="13"/>
      <c r="P125" s="12"/>
      <c r="Q125" s="13"/>
      <c r="R125" s="12"/>
      <c r="S125" s="13"/>
      <c r="T125" s="12"/>
      <c r="U125" s="13"/>
      <c r="V125" s="12"/>
      <c r="W125" s="13"/>
      <c r="X125" s="12">
        <v>4</v>
      </c>
      <c r="Y125" s="13">
        <v>150</v>
      </c>
      <c r="Z125" s="12">
        <v>3</v>
      </c>
      <c r="AA125" s="13">
        <v>526</v>
      </c>
    </row>
    <row r="126" spans="1:27" x14ac:dyDescent="0.3">
      <c r="A126" s="18" t="s">
        <v>24</v>
      </c>
      <c r="B126" s="19" t="s">
        <v>58</v>
      </c>
      <c r="C126" s="19" t="s">
        <v>217</v>
      </c>
      <c r="D126" s="19" t="s">
        <v>216</v>
      </c>
      <c r="E126" s="20" t="s">
        <v>22</v>
      </c>
      <c r="F126" s="12"/>
      <c r="G126" s="13"/>
      <c r="H126" s="12"/>
      <c r="I126" s="13"/>
      <c r="J126" s="12"/>
      <c r="K126" s="13"/>
      <c r="L126" s="12"/>
      <c r="M126" s="13"/>
      <c r="N126" s="12"/>
      <c r="O126" s="13"/>
      <c r="P126" s="12"/>
      <c r="Q126" s="13"/>
      <c r="R126" s="12"/>
      <c r="S126" s="13"/>
      <c r="T126" s="12"/>
      <c r="U126" s="13"/>
      <c r="V126" s="12">
        <v>1</v>
      </c>
      <c r="W126" s="13">
        <v>32</v>
      </c>
      <c r="X126" s="12"/>
      <c r="Y126" s="13"/>
      <c r="Z126" s="12"/>
      <c r="AA126" s="13"/>
    </row>
    <row r="127" spans="1:27" x14ac:dyDescent="0.3">
      <c r="A127" s="18" t="s">
        <v>24</v>
      </c>
      <c r="B127" s="19" t="s">
        <v>58</v>
      </c>
      <c r="C127" s="19" t="s">
        <v>59</v>
      </c>
      <c r="D127" s="19" t="s">
        <v>69</v>
      </c>
      <c r="E127" s="20" t="s">
        <v>22</v>
      </c>
      <c r="F127" s="12">
        <v>3</v>
      </c>
      <c r="G127" s="13">
        <v>860</v>
      </c>
      <c r="H127" s="12">
        <v>11</v>
      </c>
      <c r="I127" s="13">
        <v>42669</v>
      </c>
      <c r="J127" s="12"/>
      <c r="K127" s="13"/>
      <c r="L127" s="12">
        <v>11</v>
      </c>
      <c r="M127" s="13">
        <v>99556</v>
      </c>
      <c r="N127" s="12">
        <v>2</v>
      </c>
      <c r="O127" s="13">
        <v>1013</v>
      </c>
      <c r="P127" s="12"/>
      <c r="Q127" s="13"/>
      <c r="R127" s="12">
        <v>11</v>
      </c>
      <c r="S127" s="13">
        <v>5392</v>
      </c>
      <c r="T127" s="12">
        <v>12</v>
      </c>
      <c r="U127" s="13">
        <v>6456</v>
      </c>
      <c r="V127" s="12">
        <v>12</v>
      </c>
      <c r="W127" s="13">
        <v>7016</v>
      </c>
      <c r="X127" s="12">
        <v>8</v>
      </c>
      <c r="Y127" s="13">
        <v>579</v>
      </c>
      <c r="Z127" s="12">
        <v>11</v>
      </c>
      <c r="AA127" s="13">
        <v>4525</v>
      </c>
    </row>
    <row r="128" spans="1:27" x14ac:dyDescent="0.3">
      <c r="A128" s="18" t="s">
        <v>24</v>
      </c>
      <c r="B128" s="19" t="s">
        <v>58</v>
      </c>
      <c r="C128" s="19" t="s">
        <v>59</v>
      </c>
      <c r="D128" s="19" t="s">
        <v>57</v>
      </c>
      <c r="E128" s="20" t="s">
        <v>22</v>
      </c>
      <c r="F128" s="12">
        <v>8</v>
      </c>
      <c r="G128" s="13">
        <v>1284</v>
      </c>
      <c r="H128" s="12">
        <v>6</v>
      </c>
      <c r="I128" s="13">
        <v>170</v>
      </c>
      <c r="J128" s="12">
        <v>6</v>
      </c>
      <c r="K128" s="13">
        <v>821</v>
      </c>
      <c r="L128" s="12">
        <v>9</v>
      </c>
      <c r="M128" s="13">
        <v>1310</v>
      </c>
      <c r="N128" s="12"/>
      <c r="O128" s="13"/>
      <c r="P128" s="12">
        <v>1</v>
      </c>
      <c r="Q128" s="13">
        <v>240</v>
      </c>
      <c r="R128" s="12">
        <v>11</v>
      </c>
      <c r="S128" s="13">
        <v>1982</v>
      </c>
      <c r="T128" s="12">
        <v>12</v>
      </c>
      <c r="U128" s="13">
        <v>32002</v>
      </c>
      <c r="V128" s="12">
        <v>12</v>
      </c>
      <c r="W128" s="13">
        <v>41835</v>
      </c>
      <c r="X128" s="12">
        <v>8</v>
      </c>
      <c r="Y128" s="13">
        <v>329</v>
      </c>
      <c r="Z128" s="12">
        <v>8</v>
      </c>
      <c r="AA128" s="13">
        <v>662</v>
      </c>
    </row>
    <row r="129" spans="1:27" x14ac:dyDescent="0.3">
      <c r="A129" s="18" t="s">
        <v>24</v>
      </c>
      <c r="B129" s="19" t="s">
        <v>134</v>
      </c>
      <c r="C129" s="19" t="s">
        <v>135</v>
      </c>
      <c r="D129" s="19" t="s">
        <v>133</v>
      </c>
      <c r="E129" s="20" t="s">
        <v>22</v>
      </c>
      <c r="F129" s="12"/>
      <c r="G129" s="13"/>
      <c r="H129" s="12"/>
      <c r="I129" s="13"/>
      <c r="J129" s="12"/>
      <c r="K129" s="13"/>
      <c r="L129" s="12"/>
      <c r="M129" s="13"/>
      <c r="N129" s="12"/>
      <c r="O129" s="13"/>
      <c r="P129" s="12"/>
      <c r="Q129" s="13"/>
      <c r="R129" s="12">
        <v>11</v>
      </c>
      <c r="S129" s="13">
        <v>10172</v>
      </c>
      <c r="T129" s="12">
        <v>4</v>
      </c>
      <c r="U129" s="13">
        <v>294</v>
      </c>
      <c r="V129" s="12"/>
      <c r="W129" s="13"/>
      <c r="X129" s="12"/>
      <c r="Y129" s="13"/>
      <c r="Z129" s="12">
        <v>1</v>
      </c>
      <c r="AA129" s="13">
        <v>79</v>
      </c>
    </row>
    <row r="130" spans="1:27" x14ac:dyDescent="0.3">
      <c r="A130" s="18" t="s">
        <v>24</v>
      </c>
      <c r="B130" s="19" t="s">
        <v>65</v>
      </c>
      <c r="C130" s="19" t="s">
        <v>66</v>
      </c>
      <c r="D130" s="19" t="s">
        <v>64</v>
      </c>
      <c r="E130" s="20" t="s">
        <v>22</v>
      </c>
      <c r="F130" s="12"/>
      <c r="G130" s="13"/>
      <c r="H130" s="12"/>
      <c r="I130" s="13"/>
      <c r="J130" s="12"/>
      <c r="K130" s="13"/>
      <c r="L130" s="12"/>
      <c r="M130" s="13"/>
      <c r="N130" s="12"/>
      <c r="O130" s="13"/>
      <c r="P130" s="12"/>
      <c r="Q130" s="13"/>
      <c r="R130" s="12">
        <v>4</v>
      </c>
      <c r="S130" s="13">
        <v>2456</v>
      </c>
      <c r="T130" s="12"/>
      <c r="U130" s="13"/>
      <c r="V130" s="12"/>
      <c r="W130" s="13"/>
      <c r="X130" s="12">
        <v>2</v>
      </c>
      <c r="Y130" s="13">
        <v>344</v>
      </c>
      <c r="Z130" s="12">
        <v>3</v>
      </c>
      <c r="AA130" s="13">
        <v>663</v>
      </c>
    </row>
    <row r="131" spans="1:27" x14ac:dyDescent="0.3">
      <c r="A131" s="18" t="s">
        <v>24</v>
      </c>
      <c r="B131" s="19" t="s">
        <v>137</v>
      </c>
      <c r="C131" s="19" t="s">
        <v>138</v>
      </c>
      <c r="D131" s="19" t="s">
        <v>136</v>
      </c>
      <c r="E131" s="20" t="s">
        <v>22</v>
      </c>
      <c r="F131" s="12"/>
      <c r="G131" s="13"/>
      <c r="H131" s="12"/>
      <c r="I131" s="13"/>
      <c r="J131" s="12"/>
      <c r="K131" s="13"/>
      <c r="L131" s="12"/>
      <c r="M131" s="13"/>
      <c r="N131" s="12"/>
      <c r="O131" s="13"/>
      <c r="P131" s="12"/>
      <c r="Q131" s="13"/>
      <c r="R131" s="12"/>
      <c r="S131" s="13"/>
      <c r="T131" s="12">
        <v>4</v>
      </c>
      <c r="U131" s="13">
        <v>301</v>
      </c>
      <c r="V131" s="12">
        <v>2</v>
      </c>
      <c r="W131" s="13">
        <v>70</v>
      </c>
      <c r="X131" s="12"/>
      <c r="Y131" s="13"/>
      <c r="Z131" s="12"/>
      <c r="AA131" s="13"/>
    </row>
    <row r="132" spans="1:27" x14ac:dyDescent="0.3">
      <c r="A132" s="18" t="s">
        <v>24</v>
      </c>
      <c r="B132" s="19" t="s">
        <v>12</v>
      </c>
      <c r="C132" s="19" t="s">
        <v>35</v>
      </c>
      <c r="D132" s="19" t="s">
        <v>34</v>
      </c>
      <c r="E132" s="20" t="s">
        <v>22</v>
      </c>
      <c r="F132" s="12">
        <v>12</v>
      </c>
      <c r="G132" s="13">
        <v>90348</v>
      </c>
      <c r="H132" s="12">
        <v>11</v>
      </c>
      <c r="I132" s="13">
        <f>40783+183</f>
        <v>40966</v>
      </c>
      <c r="J132" s="12">
        <v>7</v>
      </c>
      <c r="K132" s="13">
        <v>4151</v>
      </c>
      <c r="L132" s="12">
        <v>11</v>
      </c>
      <c r="M132" s="13">
        <f>96216+327</f>
        <v>96543</v>
      </c>
      <c r="N132" s="12">
        <v>5</v>
      </c>
      <c r="O132" s="13">
        <v>8234</v>
      </c>
      <c r="P132" s="12">
        <v>4</v>
      </c>
      <c r="Q132" s="13">
        <v>21928</v>
      </c>
      <c r="R132" s="12">
        <v>12</v>
      </c>
      <c r="S132" s="13">
        <v>10264</v>
      </c>
      <c r="T132" s="12">
        <v>12</v>
      </c>
      <c r="U132" s="13">
        <v>25564</v>
      </c>
      <c r="V132" s="12">
        <v>12</v>
      </c>
      <c r="W132" s="13">
        <v>38879</v>
      </c>
      <c r="X132" s="12"/>
      <c r="Y132" s="13"/>
      <c r="Z132" s="12"/>
      <c r="AA132" s="13"/>
    </row>
    <row r="133" spans="1:27" x14ac:dyDescent="0.3">
      <c r="A133" s="18" t="s">
        <v>24</v>
      </c>
      <c r="B133" s="19" t="s">
        <v>12</v>
      </c>
      <c r="C133" s="19" t="s">
        <v>150</v>
      </c>
      <c r="D133" s="19" t="s">
        <v>149</v>
      </c>
      <c r="E133" s="20" t="s">
        <v>22</v>
      </c>
      <c r="F133" s="12">
        <v>5</v>
      </c>
      <c r="G133" s="13">
        <v>13166</v>
      </c>
      <c r="H133" s="12"/>
      <c r="I133" s="13"/>
      <c r="J133" s="12">
        <v>7</v>
      </c>
      <c r="K133" s="13">
        <v>5261</v>
      </c>
      <c r="L133" s="12">
        <v>1</v>
      </c>
      <c r="M133" s="13">
        <v>196</v>
      </c>
      <c r="N133" s="12"/>
      <c r="O133" s="13"/>
      <c r="P133" s="12"/>
      <c r="Q133" s="13"/>
      <c r="R133" s="12">
        <v>12</v>
      </c>
      <c r="S133" s="13">
        <v>36348</v>
      </c>
      <c r="T133" s="12">
        <v>12</v>
      </c>
      <c r="U133" s="13">
        <v>9436</v>
      </c>
      <c r="V133" s="12">
        <v>11</v>
      </c>
      <c r="W133" s="13">
        <v>7190</v>
      </c>
      <c r="X133" s="12"/>
      <c r="Y133" s="13"/>
      <c r="Z133" s="12"/>
      <c r="AA133" s="13"/>
    </row>
    <row r="134" spans="1:27" x14ac:dyDescent="0.3">
      <c r="A134" s="18" t="s">
        <v>24</v>
      </c>
      <c r="B134" s="19" t="s">
        <v>12</v>
      </c>
      <c r="C134" s="19" t="s">
        <v>111</v>
      </c>
      <c r="D134" s="19" t="s">
        <v>110</v>
      </c>
      <c r="E134" s="20" t="s">
        <v>22</v>
      </c>
      <c r="F134" s="12"/>
      <c r="G134" s="13"/>
      <c r="H134" s="12">
        <v>6</v>
      </c>
      <c r="I134" s="13">
        <v>400</v>
      </c>
      <c r="J134" s="12">
        <v>1</v>
      </c>
      <c r="K134" s="13">
        <v>288</v>
      </c>
      <c r="L134" s="12">
        <v>4</v>
      </c>
      <c r="M134" s="13">
        <v>901</v>
      </c>
      <c r="N134" s="12"/>
      <c r="O134" s="13"/>
      <c r="P134" s="12"/>
      <c r="Q134" s="13"/>
      <c r="R134" s="12">
        <v>2</v>
      </c>
      <c r="S134" s="13">
        <v>526</v>
      </c>
      <c r="T134" s="12">
        <v>1</v>
      </c>
      <c r="U134" s="13">
        <v>124</v>
      </c>
      <c r="V134" s="12">
        <v>2</v>
      </c>
      <c r="W134" s="13">
        <v>262</v>
      </c>
      <c r="X134" s="12"/>
      <c r="Y134" s="13"/>
      <c r="Z134" s="12"/>
      <c r="AA134" s="13"/>
    </row>
    <row r="135" spans="1:27" x14ac:dyDescent="0.3">
      <c r="A135" s="18" t="s">
        <v>24</v>
      </c>
      <c r="B135" s="19" t="s">
        <v>12</v>
      </c>
      <c r="C135" s="19" t="s">
        <v>105</v>
      </c>
      <c r="D135" s="19" t="s">
        <v>104</v>
      </c>
      <c r="E135" s="20" t="s">
        <v>22</v>
      </c>
      <c r="F135" s="12"/>
      <c r="G135" s="13"/>
      <c r="H135" s="12">
        <v>8</v>
      </c>
      <c r="I135" s="13">
        <v>706</v>
      </c>
      <c r="J135" s="12">
        <v>1</v>
      </c>
      <c r="K135" s="13">
        <v>38</v>
      </c>
      <c r="L135" s="12">
        <v>11</v>
      </c>
      <c r="M135" s="13">
        <v>5659</v>
      </c>
      <c r="N135" s="12"/>
      <c r="O135" s="13"/>
      <c r="P135" s="12"/>
      <c r="Q135" s="13"/>
      <c r="R135" s="12"/>
      <c r="S135" s="13"/>
      <c r="T135" s="12">
        <v>1</v>
      </c>
      <c r="U135" s="13">
        <v>30</v>
      </c>
      <c r="V135" s="12">
        <v>5</v>
      </c>
      <c r="W135" s="13">
        <v>350</v>
      </c>
      <c r="X135" s="12"/>
      <c r="Y135" s="13"/>
      <c r="Z135" s="12"/>
      <c r="AA135" s="13"/>
    </row>
    <row r="136" spans="1:27" x14ac:dyDescent="0.3">
      <c r="A136" s="18" t="s">
        <v>24</v>
      </c>
      <c r="B136" s="19" t="s">
        <v>12</v>
      </c>
      <c r="C136" s="19" t="s">
        <v>105</v>
      </c>
      <c r="D136" s="19" t="s">
        <v>215</v>
      </c>
      <c r="E136" s="20" t="s">
        <v>22</v>
      </c>
      <c r="F136" s="12"/>
      <c r="G136" s="13"/>
      <c r="H136" s="12"/>
      <c r="I136" s="13"/>
      <c r="J136" s="12">
        <v>1</v>
      </c>
      <c r="K136" s="13">
        <v>11</v>
      </c>
      <c r="L136" s="12"/>
      <c r="M136" s="13"/>
      <c r="N136" s="12"/>
      <c r="O136" s="13"/>
      <c r="P136" s="12">
        <v>1</v>
      </c>
      <c r="Q136" s="13">
        <v>19</v>
      </c>
      <c r="R136" s="12"/>
      <c r="S136" s="13"/>
      <c r="T136" s="12"/>
      <c r="U136" s="13"/>
      <c r="V136" s="12"/>
      <c r="W136" s="13"/>
      <c r="X136" s="12"/>
      <c r="Y136" s="13"/>
      <c r="Z136" s="12"/>
      <c r="AA136" s="13"/>
    </row>
    <row r="137" spans="1:27" x14ac:dyDescent="0.3">
      <c r="A137" s="18" t="s">
        <v>81</v>
      </c>
      <c r="B137" s="19" t="s">
        <v>143</v>
      </c>
      <c r="C137" s="19" t="s">
        <v>144</v>
      </c>
      <c r="D137" s="19" t="s">
        <v>142</v>
      </c>
      <c r="E137" s="20" t="s">
        <v>22</v>
      </c>
      <c r="F137" s="12"/>
      <c r="G137" s="13"/>
      <c r="H137" s="12"/>
      <c r="I137" s="13"/>
      <c r="J137" s="12"/>
      <c r="K137" s="13"/>
      <c r="L137" s="12"/>
      <c r="M137" s="13"/>
      <c r="N137" s="12"/>
      <c r="O137" s="13"/>
      <c r="P137" s="12"/>
      <c r="Q137" s="13"/>
      <c r="R137" s="12"/>
      <c r="S137" s="13"/>
      <c r="T137" s="12">
        <v>6</v>
      </c>
      <c r="U137" s="13">
        <v>764</v>
      </c>
      <c r="V137" s="12">
        <v>4</v>
      </c>
      <c r="W137" s="13">
        <v>419</v>
      </c>
      <c r="X137" s="12"/>
      <c r="Y137" s="13"/>
      <c r="Z137" s="12"/>
      <c r="AA137" s="13"/>
    </row>
    <row r="138" spans="1:27" x14ac:dyDescent="0.3">
      <c r="A138" s="18" t="s">
        <v>81</v>
      </c>
      <c r="B138" s="19" t="s">
        <v>82</v>
      </c>
      <c r="C138" s="19" t="s">
        <v>114</v>
      </c>
      <c r="D138" s="19" t="s">
        <v>113</v>
      </c>
      <c r="E138" s="20" t="s">
        <v>22</v>
      </c>
      <c r="F138" s="12"/>
      <c r="G138" s="13"/>
      <c r="H138" s="12"/>
      <c r="I138" s="13"/>
      <c r="J138" s="12"/>
      <c r="K138" s="13"/>
      <c r="L138" s="12"/>
      <c r="M138" s="13"/>
      <c r="N138" s="12"/>
      <c r="O138" s="13"/>
      <c r="P138" s="12">
        <v>3</v>
      </c>
      <c r="Q138" s="13">
        <v>2799</v>
      </c>
      <c r="R138" s="12"/>
      <c r="S138" s="13"/>
      <c r="T138" s="12">
        <v>12</v>
      </c>
      <c r="U138" s="13">
        <v>13102</v>
      </c>
      <c r="V138" s="12">
        <v>12</v>
      </c>
      <c r="W138" s="13">
        <v>13093</v>
      </c>
      <c r="X138" s="12"/>
      <c r="Y138" s="13"/>
      <c r="Z138" s="12"/>
      <c r="AA138" s="13"/>
    </row>
    <row r="139" spans="1:27" x14ac:dyDescent="0.3">
      <c r="A139" s="18" t="s">
        <v>81</v>
      </c>
      <c r="B139" s="19" t="s">
        <v>82</v>
      </c>
      <c r="C139" s="19" t="s">
        <v>83</v>
      </c>
      <c r="D139" s="19" t="s">
        <v>80</v>
      </c>
      <c r="E139" s="20" t="s">
        <v>22</v>
      </c>
      <c r="F139" s="12"/>
      <c r="G139" s="13"/>
      <c r="H139" s="12"/>
      <c r="I139" s="13"/>
      <c r="J139" s="12"/>
      <c r="K139" s="13"/>
      <c r="L139" s="12"/>
      <c r="M139" s="13"/>
      <c r="N139" s="12">
        <v>3</v>
      </c>
      <c r="O139" s="13">
        <v>6555</v>
      </c>
      <c r="P139" s="12">
        <v>4</v>
      </c>
      <c r="Q139" s="13">
        <v>8692</v>
      </c>
      <c r="R139" s="12">
        <v>1</v>
      </c>
      <c r="S139" s="13">
        <v>137</v>
      </c>
      <c r="T139" s="12"/>
      <c r="U139" s="13"/>
      <c r="V139" s="12"/>
      <c r="W139" s="13"/>
      <c r="X139" s="12"/>
      <c r="Y139" s="13"/>
      <c r="Z139" s="12"/>
      <c r="AA139" s="13"/>
    </row>
    <row r="140" spans="1:27" x14ac:dyDescent="0.3">
      <c r="A140" s="18" t="s">
        <v>81</v>
      </c>
      <c r="B140" s="19" t="s">
        <v>82</v>
      </c>
      <c r="C140" s="19" t="s">
        <v>83</v>
      </c>
      <c r="D140" s="19" t="s">
        <v>232</v>
      </c>
      <c r="E140" s="20" t="s">
        <v>22</v>
      </c>
      <c r="F140" s="12"/>
      <c r="G140" s="13"/>
      <c r="H140" s="12"/>
      <c r="I140" s="13"/>
      <c r="J140" s="12"/>
      <c r="K140" s="13"/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>
        <v>1</v>
      </c>
      <c r="W140" s="13">
        <v>85</v>
      </c>
      <c r="X140" s="12"/>
      <c r="Y140" s="13"/>
      <c r="Z140" s="12"/>
      <c r="AA140" s="13"/>
    </row>
    <row r="141" spans="1:27" x14ac:dyDescent="0.3">
      <c r="A141" s="18" t="s">
        <v>81</v>
      </c>
      <c r="B141" s="19" t="s">
        <v>121</v>
      </c>
      <c r="C141" s="19" t="s">
        <v>122</v>
      </c>
      <c r="D141" s="19" t="s">
        <v>120</v>
      </c>
      <c r="E141" s="20" t="s">
        <v>22</v>
      </c>
      <c r="F141" s="12"/>
      <c r="G141" s="13"/>
      <c r="H141" s="12"/>
      <c r="I141" s="13"/>
      <c r="J141" s="12"/>
      <c r="K141" s="13"/>
      <c r="L141" s="12"/>
      <c r="M141" s="13"/>
      <c r="N141" s="12">
        <v>2</v>
      </c>
      <c r="O141" s="13">
        <v>2037</v>
      </c>
      <c r="P141" s="12"/>
      <c r="Q141" s="13"/>
      <c r="R141" s="12"/>
      <c r="S141" s="13"/>
      <c r="T141" s="12"/>
      <c r="U141" s="13"/>
      <c r="V141" s="12"/>
      <c r="W141" s="13"/>
      <c r="X141" s="12">
        <v>1</v>
      </c>
      <c r="Y141" s="13">
        <v>42</v>
      </c>
      <c r="Z141" s="12"/>
      <c r="AA141" s="13"/>
    </row>
    <row r="142" spans="1:27" ht="15" thickBot="1" x14ac:dyDescent="0.35">
      <c r="A142" s="30" t="s">
        <v>81</v>
      </c>
      <c r="B142" s="31" t="s">
        <v>158</v>
      </c>
      <c r="C142" s="31" t="s">
        <v>159</v>
      </c>
      <c r="D142" s="31" t="s">
        <v>157</v>
      </c>
      <c r="E142" s="32" t="s">
        <v>22</v>
      </c>
      <c r="F142" s="16"/>
      <c r="G142" s="17"/>
      <c r="H142" s="16">
        <v>1</v>
      </c>
      <c r="I142" s="17">
        <v>23</v>
      </c>
      <c r="J142" s="16"/>
      <c r="K142" s="17"/>
      <c r="L142" s="16"/>
      <c r="M142" s="17"/>
      <c r="N142" s="16">
        <v>1</v>
      </c>
      <c r="O142" s="17">
        <v>548</v>
      </c>
      <c r="P142" s="16">
        <v>1</v>
      </c>
      <c r="Q142" s="17">
        <v>14592</v>
      </c>
      <c r="R142" s="16">
        <v>3</v>
      </c>
      <c r="S142" s="17">
        <v>315</v>
      </c>
      <c r="T142" s="16">
        <v>3</v>
      </c>
      <c r="U142" s="17">
        <v>479</v>
      </c>
      <c r="V142" s="16">
        <v>2</v>
      </c>
      <c r="W142" s="17">
        <v>710</v>
      </c>
      <c r="X142" s="16"/>
      <c r="Y142" s="17"/>
      <c r="Z142" s="16"/>
      <c r="AA142" s="17"/>
    </row>
  </sheetData>
  <autoFilter ref="A6:AA142" xr:uid="{DE091E76-84A2-49BC-8A40-4CDAEB08FFD3}"/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A42E9152AF5E4CA4344BE7BDA8126D" ma:contentTypeVersion="4" ma:contentTypeDescription="Create a new document." ma:contentTypeScope="" ma:versionID="4c0d2bf72afe54c67eac8ab917bae1c4">
  <xsd:schema xmlns:xsd="http://www.w3.org/2001/XMLSchema" xmlns:xs="http://www.w3.org/2001/XMLSchema" xmlns:p="http://schemas.microsoft.com/office/2006/metadata/properties" xmlns:ns2="3a009a49-8326-437e-9f88-1ed4192f92c7" targetNamespace="http://schemas.microsoft.com/office/2006/metadata/properties" ma:root="true" ma:fieldsID="e4fcba5c0e68942204028be1294c3de5" ns2:_="">
    <xsd:import namespace="3a009a49-8326-437e-9f88-1ed4192f9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09a49-8326-437e-9f88-1ed4192f9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ECC340-647B-44E1-8DF0-992EB1CFB3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A90BB64-9E3B-4B69-BD7A-775976B19B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009a49-8326-437e-9f88-1ed4192f9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97F331-7E0E-4F2D-A955-5CB290D620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SC23148_AMS_Occ_25_14_Services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Coline</dc:creator>
  <cp:keywords/>
  <dc:description/>
  <cp:lastModifiedBy>Mélanie BENOIT</cp:lastModifiedBy>
  <cp:revision/>
  <dcterms:created xsi:type="dcterms:W3CDTF">2022-09-28T06:04:33Z</dcterms:created>
  <dcterms:modified xsi:type="dcterms:W3CDTF">2025-12-12T08:27:42Z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0x01010000A42E9152AF5E4CA4344BE7BDA8126D</vt:lpwstr>
  </property>
</Properties>
</file>